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var\www\html\bskmApi\"/>
    </mc:Choice>
  </mc:AlternateContent>
  <bookViews>
    <workbookView xWindow="0" yWindow="0" windowWidth="20490" windowHeight="7635" firstSheet="3" activeTab="6"/>
  </bookViews>
  <sheets>
    <sheet name="IURAN TANAH" sheetId="1" r:id="rId1"/>
    <sheet name="IURAN BULANAN" sheetId="2" r:id="rId2"/>
    <sheet name="SALDO IURAN TANAH" sheetId="3" r:id="rId3"/>
    <sheet name="SALDO IURAN 2025" sheetId="4" r:id="rId4"/>
    <sheet name="KARTU IURANTANAH" sheetId="5" r:id="rId5"/>
    <sheet name="IURAN BULANAN(2024)" sheetId="6" r:id="rId6"/>
    <sheet name="IuranPangkal" sheetId="8" r:id="rId7"/>
    <sheet name="Sheet1" sheetId="7" r:id="rId8"/>
  </sheets>
  <definedNames>
    <definedName name="_xlnm._FilterDatabase" localSheetId="1" hidden="1">'IURAN BULANAN'!$A$2:$W$149</definedName>
    <definedName name="_xlnm._FilterDatabase" localSheetId="5" hidden="1">'IURAN BULANAN(2024)'!$A$4:$N$180</definedName>
    <definedName name="_xlnm._FilterDatabase" localSheetId="0" hidden="1">'IURAN TANAH'!$A$1:$Y$146</definedName>
    <definedName name="_xlnm.Print_Area" localSheetId="5">'IURAN BULANAN(2024)'!$A$1:$I$143</definedName>
    <definedName name="_xlnm.Print_Area" localSheetId="0">'IURAN TANAH'!$A$1:$N$126</definedName>
    <definedName name="_xlnm.Print_Area" localSheetId="6">IuranPangkal!$A$2:$G$68</definedName>
    <definedName name="_xlnm.Print_Area" localSheetId="3">'SALDO IURAN 2025'!$B$1:$F$30</definedName>
    <definedName name="_xlnm.Print_Area" localSheetId="2">'SALDO IURAN TANAH'!$B$1:$F$38</definedName>
    <definedName name="_xlnm.Print_Titles" localSheetId="1">'IURAN BULANAN'!$1:$2,'IURAN BULANAN'!$A:$E</definedName>
    <definedName name="_xlnm.Print_Titles" localSheetId="0">'IURAN TANAH'!$1:$1,'IURAN TANAH'!$A:$F</definedName>
    <definedName name="_xlnm.Print_Titles" localSheetId="4">'KARTU IURANTANAH'!$1:$1</definedName>
  </definedNames>
  <calcPr calcId="152511"/>
</workbook>
</file>

<file path=xl/calcChain.xml><?xml version="1.0" encoding="utf-8"?>
<calcChain xmlns="http://schemas.openxmlformats.org/spreadsheetml/2006/main">
  <c r="F40" i="8" l="1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67" i="8" l="1"/>
  <c r="I180" i="6"/>
  <c r="H180" i="6"/>
  <c r="G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A143" i="6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2" i="6" s="1"/>
  <c r="S6" i="6" s="1"/>
  <c r="S7" i="6" s="1"/>
  <c r="F10" i="6"/>
  <c r="F9" i="6"/>
  <c r="F8" i="6"/>
  <c r="F7" i="6"/>
  <c r="F6" i="6"/>
  <c r="F5" i="6"/>
  <c r="I2" i="6"/>
  <c r="H2" i="6"/>
  <c r="G2" i="6"/>
  <c r="L666" i="5"/>
  <c r="H666" i="5"/>
  <c r="D666" i="5"/>
  <c r="L665" i="5"/>
  <c r="H665" i="5"/>
  <c r="D665" i="5"/>
  <c r="L664" i="5"/>
  <c r="H664" i="5"/>
  <c r="D664" i="5"/>
  <c r="L663" i="5"/>
  <c r="H663" i="5"/>
  <c r="D663" i="5"/>
  <c r="L662" i="5"/>
  <c r="H662" i="5"/>
  <c r="D662" i="5"/>
  <c r="L661" i="5"/>
  <c r="H661" i="5"/>
  <c r="D661" i="5"/>
  <c r="L660" i="5"/>
  <c r="H660" i="5"/>
  <c r="D660" i="5"/>
  <c r="L659" i="5"/>
  <c r="H659" i="5"/>
  <c r="D659" i="5"/>
  <c r="L658" i="5"/>
  <c r="H658" i="5"/>
  <c r="D658" i="5"/>
  <c r="L657" i="5"/>
  <c r="L667" i="5" s="1"/>
  <c r="H657" i="5"/>
  <c r="H667" i="5" s="1"/>
  <c r="D657" i="5"/>
  <c r="D667" i="5" s="1"/>
  <c r="L654" i="5"/>
  <c r="H654" i="5"/>
  <c r="D654" i="5"/>
  <c r="L653" i="5"/>
  <c r="H653" i="5"/>
  <c r="D653" i="5"/>
  <c r="L648" i="5"/>
  <c r="H648" i="5"/>
  <c r="D648" i="5"/>
  <c r="L647" i="5"/>
  <c r="H647" i="5"/>
  <c r="D647" i="5"/>
  <c r="L646" i="5"/>
  <c r="H646" i="5"/>
  <c r="D646" i="5"/>
  <c r="L645" i="5"/>
  <c r="H645" i="5"/>
  <c r="D645" i="5"/>
  <c r="L644" i="5"/>
  <c r="H644" i="5"/>
  <c r="D644" i="5"/>
  <c r="L643" i="5"/>
  <c r="H643" i="5"/>
  <c r="D643" i="5"/>
  <c r="L642" i="5"/>
  <c r="H642" i="5"/>
  <c r="D642" i="5"/>
  <c r="L641" i="5"/>
  <c r="H641" i="5"/>
  <c r="D641" i="5"/>
  <c r="L640" i="5"/>
  <c r="H640" i="5"/>
  <c r="D640" i="5"/>
  <c r="L639" i="5"/>
  <c r="L649" i="5" s="1"/>
  <c r="H639" i="5"/>
  <c r="H649" i="5" s="1"/>
  <c r="D639" i="5"/>
  <c r="D649" i="5" s="1"/>
  <c r="L636" i="5"/>
  <c r="H636" i="5"/>
  <c r="D636" i="5"/>
  <c r="L635" i="5"/>
  <c r="H635" i="5"/>
  <c r="D635" i="5"/>
  <c r="L630" i="5"/>
  <c r="H630" i="5"/>
  <c r="D630" i="5"/>
  <c r="L629" i="5"/>
  <c r="H629" i="5"/>
  <c r="D629" i="5"/>
  <c r="L628" i="5"/>
  <c r="H628" i="5"/>
  <c r="D628" i="5"/>
  <c r="L627" i="5"/>
  <c r="H627" i="5"/>
  <c r="D627" i="5"/>
  <c r="L626" i="5"/>
  <c r="H626" i="5"/>
  <c r="D626" i="5"/>
  <c r="L625" i="5"/>
  <c r="H625" i="5"/>
  <c r="D625" i="5"/>
  <c r="L624" i="5"/>
  <c r="H624" i="5"/>
  <c r="D624" i="5"/>
  <c r="L623" i="5"/>
  <c r="H623" i="5"/>
  <c r="D623" i="5"/>
  <c r="L622" i="5"/>
  <c r="H622" i="5"/>
  <c r="D622" i="5"/>
  <c r="L621" i="5"/>
  <c r="L631" i="5" s="1"/>
  <c r="H621" i="5"/>
  <c r="H631" i="5" s="1"/>
  <c r="D621" i="5"/>
  <c r="D631" i="5" s="1"/>
  <c r="L618" i="5"/>
  <c r="H618" i="5"/>
  <c r="D618" i="5"/>
  <c r="L617" i="5"/>
  <c r="H617" i="5"/>
  <c r="D617" i="5"/>
  <c r="L612" i="5"/>
  <c r="H612" i="5"/>
  <c r="D612" i="5"/>
  <c r="L611" i="5"/>
  <c r="H611" i="5"/>
  <c r="D611" i="5"/>
  <c r="L610" i="5"/>
  <c r="H610" i="5"/>
  <c r="D610" i="5"/>
  <c r="L609" i="5"/>
  <c r="H609" i="5"/>
  <c r="D609" i="5"/>
  <c r="L608" i="5"/>
  <c r="H608" i="5"/>
  <c r="D608" i="5"/>
  <c r="L607" i="5"/>
  <c r="H607" i="5"/>
  <c r="D607" i="5"/>
  <c r="L606" i="5"/>
  <c r="H606" i="5"/>
  <c r="D606" i="5"/>
  <c r="L605" i="5"/>
  <c r="H605" i="5"/>
  <c r="D605" i="5"/>
  <c r="L604" i="5"/>
  <c r="H604" i="5"/>
  <c r="D604" i="5"/>
  <c r="L603" i="5"/>
  <c r="L613" i="5" s="1"/>
  <c r="H603" i="5"/>
  <c r="H613" i="5" s="1"/>
  <c r="D603" i="5"/>
  <c r="D613" i="5" s="1"/>
  <c r="L600" i="5"/>
  <c r="H600" i="5"/>
  <c r="D600" i="5"/>
  <c r="L599" i="5"/>
  <c r="H599" i="5"/>
  <c r="D599" i="5"/>
  <c r="L594" i="5"/>
  <c r="H594" i="5"/>
  <c r="D594" i="5"/>
  <c r="L593" i="5"/>
  <c r="H593" i="5"/>
  <c r="D593" i="5"/>
  <c r="L592" i="5"/>
  <c r="H592" i="5"/>
  <c r="D592" i="5"/>
  <c r="L591" i="5"/>
  <c r="H591" i="5"/>
  <c r="D591" i="5"/>
  <c r="L590" i="5"/>
  <c r="H590" i="5"/>
  <c r="D590" i="5"/>
  <c r="L589" i="5"/>
  <c r="H589" i="5"/>
  <c r="D589" i="5"/>
  <c r="L588" i="5"/>
  <c r="H588" i="5"/>
  <c r="D588" i="5"/>
  <c r="L587" i="5"/>
  <c r="H587" i="5"/>
  <c r="D587" i="5"/>
  <c r="L586" i="5"/>
  <c r="H586" i="5"/>
  <c r="D586" i="5"/>
  <c r="L585" i="5"/>
  <c r="L595" i="5" s="1"/>
  <c r="H585" i="5"/>
  <c r="H595" i="5" s="1"/>
  <c r="D585" i="5"/>
  <c r="D595" i="5" s="1"/>
  <c r="L582" i="5"/>
  <c r="H582" i="5"/>
  <c r="D582" i="5"/>
  <c r="L581" i="5"/>
  <c r="H581" i="5"/>
  <c r="D581" i="5"/>
  <c r="L576" i="5"/>
  <c r="H576" i="5"/>
  <c r="D576" i="5"/>
  <c r="L575" i="5"/>
  <c r="H575" i="5"/>
  <c r="D575" i="5"/>
  <c r="L574" i="5"/>
  <c r="H574" i="5"/>
  <c r="D574" i="5"/>
  <c r="L573" i="5"/>
  <c r="H573" i="5"/>
  <c r="D573" i="5"/>
  <c r="L572" i="5"/>
  <c r="H572" i="5"/>
  <c r="D572" i="5"/>
  <c r="L571" i="5"/>
  <c r="H571" i="5"/>
  <c r="D571" i="5"/>
  <c r="L570" i="5"/>
  <c r="H570" i="5"/>
  <c r="D570" i="5"/>
  <c r="L569" i="5"/>
  <c r="H569" i="5"/>
  <c r="D569" i="5"/>
  <c r="L568" i="5"/>
  <c r="H568" i="5"/>
  <c r="D568" i="5"/>
  <c r="L567" i="5"/>
  <c r="L577" i="5" s="1"/>
  <c r="H567" i="5"/>
  <c r="H577" i="5" s="1"/>
  <c r="D567" i="5"/>
  <c r="D577" i="5" s="1"/>
  <c r="L564" i="5"/>
  <c r="H564" i="5"/>
  <c r="D564" i="5"/>
  <c r="L563" i="5"/>
  <c r="H563" i="5"/>
  <c r="D563" i="5"/>
  <c r="L558" i="5"/>
  <c r="H558" i="5"/>
  <c r="D558" i="5"/>
  <c r="L557" i="5"/>
  <c r="H557" i="5"/>
  <c r="D557" i="5"/>
  <c r="L556" i="5"/>
  <c r="H556" i="5"/>
  <c r="D556" i="5"/>
  <c r="L555" i="5"/>
  <c r="H555" i="5"/>
  <c r="D555" i="5"/>
  <c r="L554" i="5"/>
  <c r="H554" i="5"/>
  <c r="D554" i="5"/>
  <c r="L553" i="5"/>
  <c r="H553" i="5"/>
  <c r="D553" i="5"/>
  <c r="L552" i="5"/>
  <c r="H552" i="5"/>
  <c r="D552" i="5"/>
  <c r="L551" i="5"/>
  <c r="H551" i="5"/>
  <c r="D551" i="5"/>
  <c r="L550" i="5"/>
  <c r="H550" i="5"/>
  <c r="D550" i="5"/>
  <c r="L549" i="5"/>
  <c r="L559" i="5" s="1"/>
  <c r="H549" i="5"/>
  <c r="H559" i="5" s="1"/>
  <c r="D549" i="5"/>
  <c r="D559" i="5" s="1"/>
  <c r="L546" i="5"/>
  <c r="H546" i="5"/>
  <c r="D546" i="5"/>
  <c r="L545" i="5"/>
  <c r="H545" i="5"/>
  <c r="D545" i="5"/>
  <c r="L540" i="5"/>
  <c r="H540" i="5"/>
  <c r="D540" i="5"/>
  <c r="L539" i="5"/>
  <c r="H539" i="5"/>
  <c r="D539" i="5"/>
  <c r="L538" i="5"/>
  <c r="H538" i="5"/>
  <c r="D538" i="5"/>
  <c r="L537" i="5"/>
  <c r="H537" i="5"/>
  <c r="D537" i="5"/>
  <c r="L536" i="5"/>
  <c r="H536" i="5"/>
  <c r="D536" i="5"/>
  <c r="L535" i="5"/>
  <c r="H535" i="5"/>
  <c r="D535" i="5"/>
  <c r="L534" i="5"/>
  <c r="H534" i="5"/>
  <c r="D534" i="5"/>
  <c r="L533" i="5"/>
  <c r="H533" i="5"/>
  <c r="D533" i="5"/>
  <c r="L532" i="5"/>
  <c r="H532" i="5"/>
  <c r="D532" i="5"/>
  <c r="L531" i="5"/>
  <c r="L541" i="5" s="1"/>
  <c r="H531" i="5"/>
  <c r="H541" i="5" s="1"/>
  <c r="D531" i="5"/>
  <c r="D541" i="5" s="1"/>
  <c r="L528" i="5"/>
  <c r="H528" i="5"/>
  <c r="D528" i="5"/>
  <c r="L527" i="5"/>
  <c r="H527" i="5"/>
  <c r="D527" i="5"/>
  <c r="L522" i="5"/>
  <c r="H522" i="5"/>
  <c r="D522" i="5"/>
  <c r="L521" i="5"/>
  <c r="H521" i="5"/>
  <c r="D521" i="5"/>
  <c r="L520" i="5"/>
  <c r="H520" i="5"/>
  <c r="D520" i="5"/>
  <c r="L519" i="5"/>
  <c r="H519" i="5"/>
  <c r="D519" i="5"/>
  <c r="L518" i="5"/>
  <c r="H518" i="5"/>
  <c r="D518" i="5"/>
  <c r="L517" i="5"/>
  <c r="H517" i="5"/>
  <c r="D517" i="5"/>
  <c r="L516" i="5"/>
  <c r="H516" i="5"/>
  <c r="D516" i="5"/>
  <c r="L515" i="5"/>
  <c r="H515" i="5"/>
  <c r="D515" i="5"/>
  <c r="L514" i="5"/>
  <c r="H514" i="5"/>
  <c r="D514" i="5"/>
  <c r="L513" i="5"/>
  <c r="L523" i="5" s="1"/>
  <c r="H513" i="5"/>
  <c r="H523" i="5" s="1"/>
  <c r="D513" i="5"/>
  <c r="D523" i="5" s="1"/>
  <c r="L510" i="5"/>
  <c r="H510" i="5"/>
  <c r="D510" i="5"/>
  <c r="L509" i="5"/>
  <c r="H509" i="5"/>
  <c r="D509" i="5"/>
  <c r="L504" i="5"/>
  <c r="H504" i="5"/>
  <c r="D504" i="5"/>
  <c r="L503" i="5"/>
  <c r="H503" i="5"/>
  <c r="D503" i="5"/>
  <c r="L502" i="5"/>
  <c r="H502" i="5"/>
  <c r="D502" i="5"/>
  <c r="L501" i="5"/>
  <c r="H501" i="5"/>
  <c r="D501" i="5"/>
  <c r="L500" i="5"/>
  <c r="H500" i="5"/>
  <c r="D500" i="5"/>
  <c r="L499" i="5"/>
  <c r="H499" i="5"/>
  <c r="D499" i="5"/>
  <c r="L498" i="5"/>
  <c r="H498" i="5"/>
  <c r="D498" i="5"/>
  <c r="L497" i="5"/>
  <c r="H497" i="5"/>
  <c r="D497" i="5"/>
  <c r="L496" i="5"/>
  <c r="H496" i="5"/>
  <c r="D496" i="5"/>
  <c r="L495" i="5"/>
  <c r="L505" i="5" s="1"/>
  <c r="H495" i="5"/>
  <c r="H505" i="5" s="1"/>
  <c r="D495" i="5"/>
  <c r="D505" i="5" s="1"/>
  <c r="L492" i="5"/>
  <c r="H492" i="5"/>
  <c r="D492" i="5"/>
  <c r="L491" i="5"/>
  <c r="H491" i="5"/>
  <c r="D491" i="5"/>
  <c r="L486" i="5"/>
  <c r="H486" i="5"/>
  <c r="D486" i="5"/>
  <c r="L485" i="5"/>
  <c r="H485" i="5"/>
  <c r="D485" i="5"/>
  <c r="L484" i="5"/>
  <c r="H484" i="5"/>
  <c r="D484" i="5"/>
  <c r="L483" i="5"/>
  <c r="H483" i="5"/>
  <c r="D483" i="5"/>
  <c r="L482" i="5"/>
  <c r="H482" i="5"/>
  <c r="D482" i="5"/>
  <c r="L481" i="5"/>
  <c r="H481" i="5"/>
  <c r="D481" i="5"/>
  <c r="L480" i="5"/>
  <c r="H480" i="5"/>
  <c r="D480" i="5"/>
  <c r="L479" i="5"/>
  <c r="H479" i="5"/>
  <c r="D479" i="5"/>
  <c r="L478" i="5"/>
  <c r="H478" i="5"/>
  <c r="D478" i="5"/>
  <c r="L477" i="5"/>
  <c r="L487" i="5" s="1"/>
  <c r="H477" i="5"/>
  <c r="H487" i="5" s="1"/>
  <c r="D477" i="5"/>
  <c r="D487" i="5" s="1"/>
  <c r="L474" i="5"/>
  <c r="H474" i="5"/>
  <c r="D474" i="5"/>
  <c r="L473" i="5"/>
  <c r="H473" i="5"/>
  <c r="D473" i="5"/>
  <c r="L468" i="5"/>
  <c r="H468" i="5"/>
  <c r="D468" i="5"/>
  <c r="L467" i="5"/>
  <c r="H467" i="5"/>
  <c r="D467" i="5"/>
  <c r="L466" i="5"/>
  <c r="H466" i="5"/>
  <c r="D466" i="5"/>
  <c r="L465" i="5"/>
  <c r="H465" i="5"/>
  <c r="D465" i="5"/>
  <c r="L464" i="5"/>
  <c r="H464" i="5"/>
  <c r="D464" i="5"/>
  <c r="L463" i="5"/>
  <c r="H463" i="5"/>
  <c r="D463" i="5"/>
  <c r="L462" i="5"/>
  <c r="H462" i="5"/>
  <c r="D462" i="5"/>
  <c r="L461" i="5"/>
  <c r="H461" i="5"/>
  <c r="D461" i="5"/>
  <c r="L460" i="5"/>
  <c r="H460" i="5"/>
  <c r="D460" i="5"/>
  <c r="L459" i="5"/>
  <c r="L469" i="5" s="1"/>
  <c r="H459" i="5"/>
  <c r="H469" i="5" s="1"/>
  <c r="D459" i="5"/>
  <c r="D469" i="5" s="1"/>
  <c r="L456" i="5"/>
  <c r="H456" i="5"/>
  <c r="D456" i="5"/>
  <c r="L455" i="5"/>
  <c r="H455" i="5"/>
  <c r="D455" i="5"/>
  <c r="L450" i="5"/>
  <c r="H450" i="5"/>
  <c r="D450" i="5"/>
  <c r="L449" i="5"/>
  <c r="H449" i="5"/>
  <c r="D449" i="5"/>
  <c r="L448" i="5"/>
  <c r="H448" i="5"/>
  <c r="D448" i="5"/>
  <c r="L447" i="5"/>
  <c r="H447" i="5"/>
  <c r="D447" i="5"/>
  <c r="L446" i="5"/>
  <c r="H446" i="5"/>
  <c r="D446" i="5"/>
  <c r="L445" i="5"/>
  <c r="H445" i="5"/>
  <c r="D445" i="5"/>
  <c r="L444" i="5"/>
  <c r="H444" i="5"/>
  <c r="D444" i="5"/>
  <c r="L443" i="5"/>
  <c r="H443" i="5"/>
  <c r="D443" i="5"/>
  <c r="L442" i="5"/>
  <c r="H442" i="5"/>
  <c r="D442" i="5"/>
  <c r="L441" i="5"/>
  <c r="L451" i="5" s="1"/>
  <c r="H441" i="5"/>
  <c r="H451" i="5" s="1"/>
  <c r="D441" i="5"/>
  <c r="D451" i="5" s="1"/>
  <c r="L438" i="5"/>
  <c r="H438" i="5"/>
  <c r="D438" i="5"/>
  <c r="L437" i="5"/>
  <c r="H437" i="5"/>
  <c r="D437" i="5"/>
  <c r="L432" i="5"/>
  <c r="H432" i="5"/>
  <c r="D432" i="5"/>
  <c r="L431" i="5"/>
  <c r="H431" i="5"/>
  <c r="D431" i="5"/>
  <c r="L430" i="5"/>
  <c r="H430" i="5"/>
  <c r="D430" i="5"/>
  <c r="L429" i="5"/>
  <c r="H429" i="5"/>
  <c r="D429" i="5"/>
  <c r="L428" i="5"/>
  <c r="H428" i="5"/>
  <c r="D428" i="5"/>
  <c r="L427" i="5"/>
  <c r="H427" i="5"/>
  <c r="D427" i="5"/>
  <c r="L426" i="5"/>
  <c r="H426" i="5"/>
  <c r="D426" i="5"/>
  <c r="L425" i="5"/>
  <c r="H425" i="5"/>
  <c r="D425" i="5"/>
  <c r="L424" i="5"/>
  <c r="H424" i="5"/>
  <c r="D424" i="5"/>
  <c r="L423" i="5"/>
  <c r="L433" i="5" s="1"/>
  <c r="H423" i="5"/>
  <c r="H433" i="5" s="1"/>
  <c r="D423" i="5"/>
  <c r="D433" i="5" s="1"/>
  <c r="L420" i="5"/>
  <c r="H420" i="5"/>
  <c r="D420" i="5"/>
  <c r="L419" i="5"/>
  <c r="H419" i="5"/>
  <c r="D419" i="5"/>
  <c r="L414" i="5"/>
  <c r="H414" i="5"/>
  <c r="D414" i="5"/>
  <c r="L413" i="5"/>
  <c r="H413" i="5"/>
  <c r="D413" i="5"/>
  <c r="L412" i="5"/>
  <c r="H412" i="5"/>
  <c r="D412" i="5"/>
  <c r="L411" i="5"/>
  <c r="H411" i="5"/>
  <c r="D411" i="5"/>
  <c r="L410" i="5"/>
  <c r="H410" i="5"/>
  <c r="D410" i="5"/>
  <c r="L409" i="5"/>
  <c r="H409" i="5"/>
  <c r="D409" i="5"/>
  <c r="L408" i="5"/>
  <c r="H408" i="5"/>
  <c r="D408" i="5"/>
  <c r="L407" i="5"/>
  <c r="H407" i="5"/>
  <c r="D407" i="5"/>
  <c r="L406" i="5"/>
  <c r="H406" i="5"/>
  <c r="D406" i="5"/>
  <c r="L405" i="5"/>
  <c r="L415" i="5" s="1"/>
  <c r="H405" i="5"/>
  <c r="H415" i="5" s="1"/>
  <c r="D405" i="5"/>
  <c r="D415" i="5" s="1"/>
  <c r="L402" i="5"/>
  <c r="H402" i="5"/>
  <c r="D402" i="5"/>
  <c r="L401" i="5"/>
  <c r="H401" i="5"/>
  <c r="D401" i="5"/>
  <c r="L396" i="5"/>
  <c r="H396" i="5"/>
  <c r="D396" i="5"/>
  <c r="L395" i="5"/>
  <c r="H395" i="5"/>
  <c r="D395" i="5"/>
  <c r="L394" i="5"/>
  <c r="H394" i="5"/>
  <c r="D394" i="5"/>
  <c r="L393" i="5"/>
  <c r="H393" i="5"/>
  <c r="D393" i="5"/>
  <c r="L392" i="5"/>
  <c r="H392" i="5"/>
  <c r="D392" i="5"/>
  <c r="L391" i="5"/>
  <c r="H391" i="5"/>
  <c r="D391" i="5"/>
  <c r="L390" i="5"/>
  <c r="H390" i="5"/>
  <c r="D390" i="5"/>
  <c r="L389" i="5"/>
  <c r="H389" i="5"/>
  <c r="D389" i="5"/>
  <c r="L388" i="5"/>
  <c r="H388" i="5"/>
  <c r="D388" i="5"/>
  <c r="L387" i="5"/>
  <c r="L397" i="5" s="1"/>
  <c r="H387" i="5"/>
  <c r="H397" i="5" s="1"/>
  <c r="D387" i="5"/>
  <c r="D397" i="5" s="1"/>
  <c r="L384" i="5"/>
  <c r="H384" i="5"/>
  <c r="D384" i="5"/>
  <c r="L383" i="5"/>
  <c r="H383" i="5"/>
  <c r="D383" i="5"/>
  <c r="L378" i="5"/>
  <c r="H378" i="5"/>
  <c r="D378" i="5"/>
  <c r="L377" i="5"/>
  <c r="H377" i="5"/>
  <c r="D377" i="5"/>
  <c r="L376" i="5"/>
  <c r="H376" i="5"/>
  <c r="D376" i="5"/>
  <c r="L375" i="5"/>
  <c r="H375" i="5"/>
  <c r="D375" i="5"/>
  <c r="L374" i="5"/>
  <c r="H374" i="5"/>
  <c r="D374" i="5"/>
  <c r="L373" i="5"/>
  <c r="H373" i="5"/>
  <c r="D373" i="5"/>
  <c r="L372" i="5"/>
  <c r="H372" i="5"/>
  <c r="D372" i="5"/>
  <c r="L371" i="5"/>
  <c r="H371" i="5"/>
  <c r="D371" i="5"/>
  <c r="L370" i="5"/>
  <c r="H370" i="5"/>
  <c r="D370" i="5"/>
  <c r="L369" i="5"/>
  <c r="L379" i="5" s="1"/>
  <c r="H369" i="5"/>
  <c r="H379" i="5" s="1"/>
  <c r="D369" i="5"/>
  <c r="D379" i="5" s="1"/>
  <c r="L366" i="5"/>
  <c r="H366" i="5"/>
  <c r="D366" i="5"/>
  <c r="L365" i="5"/>
  <c r="H365" i="5"/>
  <c r="D365" i="5"/>
  <c r="L360" i="5"/>
  <c r="H360" i="5"/>
  <c r="D360" i="5"/>
  <c r="L359" i="5"/>
  <c r="H359" i="5"/>
  <c r="D359" i="5"/>
  <c r="L358" i="5"/>
  <c r="H358" i="5"/>
  <c r="D358" i="5"/>
  <c r="L357" i="5"/>
  <c r="H357" i="5"/>
  <c r="D357" i="5"/>
  <c r="L356" i="5"/>
  <c r="H356" i="5"/>
  <c r="D356" i="5"/>
  <c r="L355" i="5"/>
  <c r="H355" i="5"/>
  <c r="D355" i="5"/>
  <c r="L354" i="5"/>
  <c r="H354" i="5"/>
  <c r="D354" i="5"/>
  <c r="L353" i="5"/>
  <c r="H353" i="5"/>
  <c r="D353" i="5"/>
  <c r="L352" i="5"/>
  <c r="H352" i="5"/>
  <c r="D352" i="5"/>
  <c r="L351" i="5"/>
  <c r="L361" i="5" s="1"/>
  <c r="H351" i="5"/>
  <c r="H361" i="5" s="1"/>
  <c r="D351" i="5"/>
  <c r="D361" i="5" s="1"/>
  <c r="L348" i="5"/>
  <c r="H348" i="5"/>
  <c r="D348" i="5"/>
  <c r="L347" i="5"/>
  <c r="H347" i="5"/>
  <c r="D347" i="5"/>
  <c r="L342" i="5"/>
  <c r="H342" i="5"/>
  <c r="D342" i="5"/>
  <c r="L341" i="5"/>
  <c r="H341" i="5"/>
  <c r="D341" i="5"/>
  <c r="L340" i="5"/>
  <c r="H340" i="5"/>
  <c r="D340" i="5"/>
  <c r="L339" i="5"/>
  <c r="H339" i="5"/>
  <c r="D339" i="5"/>
  <c r="L338" i="5"/>
  <c r="H338" i="5"/>
  <c r="D338" i="5"/>
  <c r="L337" i="5"/>
  <c r="H337" i="5"/>
  <c r="D337" i="5"/>
  <c r="L336" i="5"/>
  <c r="H336" i="5"/>
  <c r="D336" i="5"/>
  <c r="L335" i="5"/>
  <c r="H335" i="5"/>
  <c r="D335" i="5"/>
  <c r="L334" i="5"/>
  <c r="H334" i="5"/>
  <c r="D334" i="5"/>
  <c r="L333" i="5"/>
  <c r="L343" i="5" s="1"/>
  <c r="H333" i="5"/>
  <c r="H343" i="5" s="1"/>
  <c r="D333" i="5"/>
  <c r="D343" i="5" s="1"/>
  <c r="L330" i="5"/>
  <c r="H330" i="5"/>
  <c r="D330" i="5"/>
  <c r="L329" i="5"/>
  <c r="H329" i="5"/>
  <c r="D329" i="5"/>
  <c r="L324" i="5"/>
  <c r="H324" i="5"/>
  <c r="D324" i="5"/>
  <c r="L323" i="5"/>
  <c r="H323" i="5"/>
  <c r="D323" i="5"/>
  <c r="L322" i="5"/>
  <c r="H322" i="5"/>
  <c r="D322" i="5"/>
  <c r="L321" i="5"/>
  <c r="H321" i="5"/>
  <c r="D321" i="5"/>
  <c r="L320" i="5"/>
  <c r="H320" i="5"/>
  <c r="D320" i="5"/>
  <c r="L319" i="5"/>
  <c r="H319" i="5"/>
  <c r="D319" i="5"/>
  <c r="L318" i="5"/>
  <c r="H318" i="5"/>
  <c r="D318" i="5"/>
  <c r="L317" i="5"/>
  <c r="H317" i="5"/>
  <c r="D317" i="5"/>
  <c r="L316" i="5"/>
  <c r="H316" i="5"/>
  <c r="D316" i="5"/>
  <c r="L315" i="5"/>
  <c r="L325" i="5" s="1"/>
  <c r="H315" i="5"/>
  <c r="H325" i="5" s="1"/>
  <c r="D315" i="5"/>
  <c r="D325" i="5" s="1"/>
  <c r="L312" i="5"/>
  <c r="H312" i="5"/>
  <c r="D312" i="5"/>
  <c r="L311" i="5"/>
  <c r="H311" i="5"/>
  <c r="D311" i="5"/>
  <c r="L306" i="5"/>
  <c r="H306" i="5"/>
  <c r="D306" i="5"/>
  <c r="L305" i="5"/>
  <c r="H305" i="5"/>
  <c r="D305" i="5"/>
  <c r="L304" i="5"/>
  <c r="H304" i="5"/>
  <c r="D304" i="5"/>
  <c r="L303" i="5"/>
  <c r="H303" i="5"/>
  <c r="D303" i="5"/>
  <c r="L302" i="5"/>
  <c r="H302" i="5"/>
  <c r="D302" i="5"/>
  <c r="L301" i="5"/>
  <c r="H301" i="5"/>
  <c r="D301" i="5"/>
  <c r="L300" i="5"/>
  <c r="H300" i="5"/>
  <c r="D300" i="5"/>
  <c r="L299" i="5"/>
  <c r="H299" i="5"/>
  <c r="D299" i="5"/>
  <c r="L298" i="5"/>
  <c r="H298" i="5"/>
  <c r="D298" i="5"/>
  <c r="L297" i="5"/>
  <c r="L307" i="5" s="1"/>
  <c r="H297" i="5"/>
  <c r="H307" i="5" s="1"/>
  <c r="D297" i="5"/>
  <c r="D307" i="5" s="1"/>
  <c r="L294" i="5"/>
  <c r="H294" i="5"/>
  <c r="D294" i="5"/>
  <c r="L293" i="5"/>
  <c r="H293" i="5"/>
  <c r="D293" i="5"/>
  <c r="L288" i="5"/>
  <c r="H288" i="5"/>
  <c r="D288" i="5"/>
  <c r="L287" i="5"/>
  <c r="H287" i="5"/>
  <c r="D287" i="5"/>
  <c r="L286" i="5"/>
  <c r="H286" i="5"/>
  <c r="D286" i="5"/>
  <c r="L285" i="5"/>
  <c r="H285" i="5"/>
  <c r="D285" i="5"/>
  <c r="L284" i="5"/>
  <c r="H284" i="5"/>
  <c r="D284" i="5"/>
  <c r="L283" i="5"/>
  <c r="H283" i="5"/>
  <c r="D283" i="5"/>
  <c r="L282" i="5"/>
  <c r="H282" i="5"/>
  <c r="D282" i="5"/>
  <c r="L281" i="5"/>
  <c r="H281" i="5"/>
  <c r="D281" i="5"/>
  <c r="L280" i="5"/>
  <c r="H280" i="5"/>
  <c r="D280" i="5"/>
  <c r="L279" i="5"/>
  <c r="L289" i="5" s="1"/>
  <c r="H279" i="5"/>
  <c r="H289" i="5" s="1"/>
  <c r="D279" i="5"/>
  <c r="D289" i="5" s="1"/>
  <c r="L276" i="5"/>
  <c r="H276" i="5"/>
  <c r="D276" i="5"/>
  <c r="L275" i="5"/>
  <c r="H275" i="5"/>
  <c r="D275" i="5"/>
  <c r="L270" i="5"/>
  <c r="H270" i="5"/>
  <c r="D270" i="5"/>
  <c r="L269" i="5"/>
  <c r="H269" i="5"/>
  <c r="D269" i="5"/>
  <c r="L268" i="5"/>
  <c r="H268" i="5"/>
  <c r="D268" i="5"/>
  <c r="L267" i="5"/>
  <c r="H267" i="5"/>
  <c r="D267" i="5"/>
  <c r="L266" i="5"/>
  <c r="H266" i="5"/>
  <c r="D266" i="5"/>
  <c r="L265" i="5"/>
  <c r="H265" i="5"/>
  <c r="D265" i="5"/>
  <c r="L264" i="5"/>
  <c r="H264" i="5"/>
  <c r="D264" i="5"/>
  <c r="L263" i="5"/>
  <c r="H263" i="5"/>
  <c r="D263" i="5"/>
  <c r="L262" i="5"/>
  <c r="H262" i="5"/>
  <c r="D262" i="5"/>
  <c r="L261" i="5"/>
  <c r="L271" i="5" s="1"/>
  <c r="H261" i="5"/>
  <c r="H271" i="5" s="1"/>
  <c r="D261" i="5"/>
  <c r="D271" i="5" s="1"/>
  <c r="L258" i="5"/>
  <c r="H258" i="5"/>
  <c r="D258" i="5"/>
  <c r="L257" i="5"/>
  <c r="H257" i="5"/>
  <c r="D257" i="5"/>
  <c r="L252" i="5"/>
  <c r="H252" i="5"/>
  <c r="D252" i="5"/>
  <c r="L251" i="5"/>
  <c r="H251" i="5"/>
  <c r="D251" i="5"/>
  <c r="L250" i="5"/>
  <c r="H250" i="5"/>
  <c r="D250" i="5"/>
  <c r="L249" i="5"/>
  <c r="H249" i="5"/>
  <c r="D249" i="5"/>
  <c r="L248" i="5"/>
  <c r="H248" i="5"/>
  <c r="D248" i="5"/>
  <c r="L247" i="5"/>
  <c r="H247" i="5"/>
  <c r="D247" i="5"/>
  <c r="L246" i="5"/>
  <c r="H246" i="5"/>
  <c r="D246" i="5"/>
  <c r="L245" i="5"/>
  <c r="H245" i="5"/>
  <c r="D245" i="5"/>
  <c r="L244" i="5"/>
  <c r="H244" i="5"/>
  <c r="D244" i="5"/>
  <c r="L243" i="5"/>
  <c r="L253" i="5" s="1"/>
  <c r="H243" i="5"/>
  <c r="H253" i="5" s="1"/>
  <c r="D243" i="5"/>
  <c r="D253" i="5" s="1"/>
  <c r="L240" i="5"/>
  <c r="H240" i="5"/>
  <c r="D240" i="5"/>
  <c r="L239" i="5"/>
  <c r="H239" i="5"/>
  <c r="D239" i="5"/>
  <c r="L234" i="5"/>
  <c r="H234" i="5"/>
  <c r="D234" i="5"/>
  <c r="L233" i="5"/>
  <c r="H233" i="5"/>
  <c r="D233" i="5"/>
  <c r="L232" i="5"/>
  <c r="H232" i="5"/>
  <c r="D232" i="5"/>
  <c r="L231" i="5"/>
  <c r="H231" i="5"/>
  <c r="D231" i="5"/>
  <c r="L230" i="5"/>
  <c r="H230" i="5"/>
  <c r="D230" i="5"/>
  <c r="L229" i="5"/>
  <c r="H229" i="5"/>
  <c r="D229" i="5"/>
  <c r="L228" i="5"/>
  <c r="H228" i="5"/>
  <c r="D228" i="5"/>
  <c r="L227" i="5"/>
  <c r="H227" i="5"/>
  <c r="D227" i="5"/>
  <c r="L226" i="5"/>
  <c r="H226" i="5"/>
  <c r="D226" i="5"/>
  <c r="L225" i="5"/>
  <c r="L235" i="5" s="1"/>
  <c r="H225" i="5"/>
  <c r="H235" i="5" s="1"/>
  <c r="D225" i="5"/>
  <c r="D235" i="5" s="1"/>
  <c r="L222" i="5"/>
  <c r="H222" i="5"/>
  <c r="D222" i="5"/>
  <c r="L221" i="5"/>
  <c r="H221" i="5"/>
  <c r="D221" i="5"/>
  <c r="L216" i="5"/>
  <c r="H216" i="5"/>
  <c r="D216" i="5"/>
  <c r="L215" i="5"/>
  <c r="H215" i="5"/>
  <c r="D215" i="5"/>
  <c r="L214" i="5"/>
  <c r="H214" i="5"/>
  <c r="D214" i="5"/>
  <c r="L213" i="5"/>
  <c r="H213" i="5"/>
  <c r="D213" i="5"/>
  <c r="L212" i="5"/>
  <c r="H212" i="5"/>
  <c r="D212" i="5"/>
  <c r="L211" i="5"/>
  <c r="H211" i="5"/>
  <c r="D211" i="5"/>
  <c r="L210" i="5"/>
  <c r="H210" i="5"/>
  <c r="D210" i="5"/>
  <c r="L209" i="5"/>
  <c r="H209" i="5"/>
  <c r="D209" i="5"/>
  <c r="L208" i="5"/>
  <c r="H208" i="5"/>
  <c r="D208" i="5"/>
  <c r="L207" i="5"/>
  <c r="L217" i="5" s="1"/>
  <c r="H207" i="5"/>
  <c r="H217" i="5" s="1"/>
  <c r="D207" i="5"/>
  <c r="D217" i="5" s="1"/>
  <c r="L204" i="5"/>
  <c r="H204" i="5"/>
  <c r="D204" i="5"/>
  <c r="L203" i="5"/>
  <c r="H203" i="5"/>
  <c r="D203" i="5"/>
  <c r="L198" i="5"/>
  <c r="H198" i="5"/>
  <c r="D198" i="5"/>
  <c r="L197" i="5"/>
  <c r="H197" i="5"/>
  <c r="D197" i="5"/>
  <c r="L196" i="5"/>
  <c r="H196" i="5"/>
  <c r="D196" i="5"/>
  <c r="L195" i="5"/>
  <c r="H195" i="5"/>
  <c r="D195" i="5"/>
  <c r="L194" i="5"/>
  <c r="H194" i="5"/>
  <c r="D194" i="5"/>
  <c r="L193" i="5"/>
  <c r="H193" i="5"/>
  <c r="D193" i="5"/>
  <c r="L192" i="5"/>
  <c r="H192" i="5"/>
  <c r="D192" i="5"/>
  <c r="L191" i="5"/>
  <c r="H191" i="5"/>
  <c r="D191" i="5"/>
  <c r="L190" i="5"/>
  <c r="H190" i="5"/>
  <c r="D190" i="5"/>
  <c r="L189" i="5"/>
  <c r="L199" i="5" s="1"/>
  <c r="H189" i="5"/>
  <c r="H199" i="5" s="1"/>
  <c r="D189" i="5"/>
  <c r="D199" i="5" s="1"/>
  <c r="L186" i="5"/>
  <c r="H186" i="5"/>
  <c r="D186" i="5"/>
  <c r="L185" i="5"/>
  <c r="H185" i="5"/>
  <c r="D185" i="5"/>
  <c r="L180" i="5"/>
  <c r="H180" i="5"/>
  <c r="D180" i="5"/>
  <c r="L179" i="5"/>
  <c r="H179" i="5"/>
  <c r="D179" i="5"/>
  <c r="L178" i="5"/>
  <c r="H178" i="5"/>
  <c r="D178" i="5"/>
  <c r="L177" i="5"/>
  <c r="H177" i="5"/>
  <c r="D177" i="5"/>
  <c r="L176" i="5"/>
  <c r="H176" i="5"/>
  <c r="D176" i="5"/>
  <c r="L175" i="5"/>
  <c r="H175" i="5"/>
  <c r="D175" i="5"/>
  <c r="L174" i="5"/>
  <c r="H174" i="5"/>
  <c r="D174" i="5"/>
  <c r="L173" i="5"/>
  <c r="H173" i="5"/>
  <c r="D173" i="5"/>
  <c r="L172" i="5"/>
  <c r="H172" i="5"/>
  <c r="D172" i="5"/>
  <c r="L171" i="5"/>
  <c r="L181" i="5" s="1"/>
  <c r="H171" i="5"/>
  <c r="H181" i="5" s="1"/>
  <c r="D171" i="5"/>
  <c r="D181" i="5" s="1"/>
  <c r="L168" i="5"/>
  <c r="H168" i="5"/>
  <c r="D168" i="5"/>
  <c r="L167" i="5"/>
  <c r="H167" i="5"/>
  <c r="D167" i="5"/>
  <c r="L162" i="5"/>
  <c r="H162" i="5"/>
  <c r="D162" i="5"/>
  <c r="L161" i="5"/>
  <c r="H161" i="5"/>
  <c r="D161" i="5"/>
  <c r="L160" i="5"/>
  <c r="H160" i="5"/>
  <c r="D160" i="5"/>
  <c r="L159" i="5"/>
  <c r="H159" i="5"/>
  <c r="D159" i="5"/>
  <c r="L158" i="5"/>
  <c r="H158" i="5"/>
  <c r="D158" i="5"/>
  <c r="L157" i="5"/>
  <c r="H157" i="5"/>
  <c r="D157" i="5"/>
  <c r="L156" i="5"/>
  <c r="H156" i="5"/>
  <c r="D156" i="5"/>
  <c r="L155" i="5"/>
  <c r="H155" i="5"/>
  <c r="D155" i="5"/>
  <c r="L154" i="5"/>
  <c r="H154" i="5"/>
  <c r="D154" i="5"/>
  <c r="L153" i="5"/>
  <c r="L163" i="5" s="1"/>
  <c r="H153" i="5"/>
  <c r="H163" i="5" s="1"/>
  <c r="D153" i="5"/>
  <c r="D163" i="5" s="1"/>
  <c r="L150" i="5"/>
  <c r="H150" i="5"/>
  <c r="D150" i="5"/>
  <c r="L149" i="5"/>
  <c r="H149" i="5"/>
  <c r="D149" i="5"/>
  <c r="L144" i="5"/>
  <c r="H144" i="5"/>
  <c r="D144" i="5"/>
  <c r="L143" i="5"/>
  <c r="H143" i="5"/>
  <c r="D143" i="5"/>
  <c r="L142" i="5"/>
  <c r="H142" i="5"/>
  <c r="D142" i="5"/>
  <c r="L141" i="5"/>
  <c r="H141" i="5"/>
  <c r="D141" i="5"/>
  <c r="L140" i="5"/>
  <c r="H140" i="5"/>
  <c r="D140" i="5"/>
  <c r="L139" i="5"/>
  <c r="H139" i="5"/>
  <c r="D139" i="5"/>
  <c r="L138" i="5"/>
  <c r="H138" i="5"/>
  <c r="D138" i="5"/>
  <c r="L137" i="5"/>
  <c r="H137" i="5"/>
  <c r="D137" i="5"/>
  <c r="L136" i="5"/>
  <c r="H136" i="5"/>
  <c r="D136" i="5"/>
  <c r="L135" i="5"/>
  <c r="L145" i="5" s="1"/>
  <c r="H135" i="5"/>
  <c r="H145" i="5" s="1"/>
  <c r="D135" i="5"/>
  <c r="D145" i="5" s="1"/>
  <c r="L132" i="5"/>
  <c r="H132" i="5"/>
  <c r="D132" i="5"/>
  <c r="L131" i="5"/>
  <c r="H131" i="5"/>
  <c r="D131" i="5"/>
  <c r="L126" i="5"/>
  <c r="H126" i="5"/>
  <c r="D126" i="5"/>
  <c r="L125" i="5"/>
  <c r="H125" i="5"/>
  <c r="D125" i="5"/>
  <c r="L124" i="5"/>
  <c r="H124" i="5"/>
  <c r="D124" i="5"/>
  <c r="L123" i="5"/>
  <c r="H123" i="5"/>
  <c r="D123" i="5"/>
  <c r="L122" i="5"/>
  <c r="H122" i="5"/>
  <c r="D122" i="5"/>
  <c r="L121" i="5"/>
  <c r="H121" i="5"/>
  <c r="D121" i="5"/>
  <c r="L120" i="5"/>
  <c r="H120" i="5"/>
  <c r="D120" i="5"/>
  <c r="L119" i="5"/>
  <c r="H119" i="5"/>
  <c r="D119" i="5"/>
  <c r="L118" i="5"/>
  <c r="H118" i="5"/>
  <c r="D118" i="5"/>
  <c r="L117" i="5"/>
  <c r="L127" i="5" s="1"/>
  <c r="H117" i="5"/>
  <c r="H127" i="5" s="1"/>
  <c r="D117" i="5"/>
  <c r="D127" i="5" s="1"/>
  <c r="L114" i="5"/>
  <c r="H114" i="5"/>
  <c r="D114" i="5"/>
  <c r="L113" i="5"/>
  <c r="H113" i="5"/>
  <c r="D113" i="5"/>
  <c r="L108" i="5"/>
  <c r="H108" i="5"/>
  <c r="D108" i="5"/>
  <c r="L107" i="5"/>
  <c r="H107" i="5"/>
  <c r="D107" i="5"/>
  <c r="L106" i="5"/>
  <c r="H106" i="5"/>
  <c r="D106" i="5"/>
  <c r="L105" i="5"/>
  <c r="H105" i="5"/>
  <c r="D105" i="5"/>
  <c r="L104" i="5"/>
  <c r="H104" i="5"/>
  <c r="D104" i="5"/>
  <c r="L103" i="5"/>
  <c r="H103" i="5"/>
  <c r="D103" i="5"/>
  <c r="L102" i="5"/>
  <c r="H102" i="5"/>
  <c r="D102" i="5"/>
  <c r="L101" i="5"/>
  <c r="H101" i="5"/>
  <c r="D101" i="5"/>
  <c r="L100" i="5"/>
  <c r="H100" i="5"/>
  <c r="D100" i="5"/>
  <c r="L99" i="5"/>
  <c r="L109" i="5" s="1"/>
  <c r="H99" i="5"/>
  <c r="H109" i="5" s="1"/>
  <c r="D99" i="5"/>
  <c r="D109" i="5" s="1"/>
  <c r="L96" i="5"/>
  <c r="H96" i="5"/>
  <c r="D96" i="5"/>
  <c r="L95" i="5"/>
  <c r="H95" i="5"/>
  <c r="D95" i="5"/>
  <c r="L89" i="5"/>
  <c r="H89" i="5"/>
  <c r="D89" i="5"/>
  <c r="L88" i="5"/>
  <c r="H88" i="5"/>
  <c r="D88" i="5"/>
  <c r="L87" i="5"/>
  <c r="H87" i="5"/>
  <c r="D87" i="5"/>
  <c r="L86" i="5"/>
  <c r="H86" i="5"/>
  <c r="D86" i="5"/>
  <c r="L85" i="5"/>
  <c r="H85" i="5"/>
  <c r="D85" i="5"/>
  <c r="L84" i="5"/>
  <c r="H84" i="5"/>
  <c r="D84" i="5"/>
  <c r="L83" i="5"/>
  <c r="H83" i="5"/>
  <c r="D83" i="5"/>
  <c r="L82" i="5"/>
  <c r="H82" i="5"/>
  <c r="D82" i="5"/>
  <c r="L81" i="5"/>
  <c r="H81" i="5"/>
  <c r="D81" i="5"/>
  <c r="L80" i="5"/>
  <c r="L90" i="5" s="1"/>
  <c r="H80" i="5"/>
  <c r="H90" i="5" s="1"/>
  <c r="D80" i="5"/>
  <c r="D90" i="5" s="1"/>
  <c r="L77" i="5"/>
  <c r="H77" i="5"/>
  <c r="D77" i="5"/>
  <c r="L76" i="5"/>
  <c r="H76" i="5"/>
  <c r="D76" i="5"/>
  <c r="L71" i="5"/>
  <c r="H71" i="5"/>
  <c r="D71" i="5"/>
  <c r="L70" i="5"/>
  <c r="H70" i="5"/>
  <c r="D70" i="5"/>
  <c r="L69" i="5"/>
  <c r="H69" i="5"/>
  <c r="D69" i="5"/>
  <c r="L68" i="5"/>
  <c r="H68" i="5"/>
  <c r="D68" i="5"/>
  <c r="L67" i="5"/>
  <c r="H67" i="5"/>
  <c r="D67" i="5"/>
  <c r="L66" i="5"/>
  <c r="H66" i="5"/>
  <c r="D66" i="5"/>
  <c r="L65" i="5"/>
  <c r="H65" i="5"/>
  <c r="D65" i="5"/>
  <c r="L64" i="5"/>
  <c r="H64" i="5"/>
  <c r="D64" i="5"/>
  <c r="L63" i="5"/>
  <c r="H63" i="5"/>
  <c r="D63" i="5"/>
  <c r="L62" i="5"/>
  <c r="L72" i="5" s="1"/>
  <c r="H62" i="5"/>
  <c r="H72" i="5" s="1"/>
  <c r="D62" i="5"/>
  <c r="D72" i="5" s="1"/>
  <c r="L59" i="5"/>
  <c r="H59" i="5"/>
  <c r="D59" i="5"/>
  <c r="L58" i="5"/>
  <c r="H58" i="5"/>
  <c r="D58" i="5"/>
  <c r="L53" i="5"/>
  <c r="H53" i="5"/>
  <c r="D53" i="5"/>
  <c r="L52" i="5"/>
  <c r="H52" i="5"/>
  <c r="D52" i="5"/>
  <c r="L51" i="5"/>
  <c r="H51" i="5"/>
  <c r="D51" i="5"/>
  <c r="L50" i="5"/>
  <c r="H50" i="5"/>
  <c r="D50" i="5"/>
  <c r="L49" i="5"/>
  <c r="H49" i="5"/>
  <c r="D49" i="5"/>
  <c r="L48" i="5"/>
  <c r="H48" i="5"/>
  <c r="D48" i="5"/>
  <c r="L47" i="5"/>
  <c r="H47" i="5"/>
  <c r="D47" i="5"/>
  <c r="L46" i="5"/>
  <c r="H46" i="5"/>
  <c r="D46" i="5"/>
  <c r="L45" i="5"/>
  <c r="H45" i="5"/>
  <c r="D45" i="5"/>
  <c r="L44" i="5"/>
  <c r="L54" i="5" s="1"/>
  <c r="H44" i="5"/>
  <c r="H54" i="5" s="1"/>
  <c r="D44" i="5"/>
  <c r="D54" i="5" s="1"/>
  <c r="L41" i="5"/>
  <c r="H41" i="5"/>
  <c r="D41" i="5"/>
  <c r="L40" i="5"/>
  <c r="H40" i="5"/>
  <c r="D40" i="5"/>
  <c r="L35" i="5"/>
  <c r="H35" i="5"/>
  <c r="D35" i="5"/>
  <c r="L34" i="5"/>
  <c r="H34" i="5"/>
  <c r="D34" i="5"/>
  <c r="L33" i="5"/>
  <c r="H33" i="5"/>
  <c r="D33" i="5"/>
  <c r="L32" i="5"/>
  <c r="H32" i="5"/>
  <c r="D32" i="5"/>
  <c r="L31" i="5"/>
  <c r="H31" i="5"/>
  <c r="D31" i="5"/>
  <c r="L30" i="5"/>
  <c r="H30" i="5"/>
  <c r="D30" i="5"/>
  <c r="L29" i="5"/>
  <c r="H29" i="5"/>
  <c r="D29" i="5"/>
  <c r="L28" i="5"/>
  <c r="H28" i="5"/>
  <c r="D28" i="5"/>
  <c r="L27" i="5"/>
  <c r="H27" i="5"/>
  <c r="D27" i="5"/>
  <c r="L26" i="5"/>
  <c r="L36" i="5" s="1"/>
  <c r="H26" i="5"/>
  <c r="H36" i="5" s="1"/>
  <c r="D26" i="5"/>
  <c r="D36" i="5" s="1"/>
  <c r="L23" i="5"/>
  <c r="H23" i="5"/>
  <c r="D23" i="5"/>
  <c r="L22" i="5"/>
  <c r="H22" i="5"/>
  <c r="D22" i="5"/>
  <c r="L17" i="5"/>
  <c r="H17" i="5"/>
  <c r="D17" i="5"/>
  <c r="L16" i="5"/>
  <c r="H16" i="5"/>
  <c r="D16" i="5"/>
  <c r="L15" i="5"/>
  <c r="H15" i="5"/>
  <c r="D15" i="5"/>
  <c r="L14" i="5"/>
  <c r="H14" i="5"/>
  <c r="D14" i="5"/>
  <c r="L13" i="5"/>
  <c r="H13" i="5"/>
  <c r="D13" i="5"/>
  <c r="L12" i="5"/>
  <c r="H12" i="5"/>
  <c r="D12" i="5"/>
  <c r="L11" i="5"/>
  <c r="H11" i="5"/>
  <c r="D11" i="5"/>
  <c r="L10" i="5"/>
  <c r="H10" i="5"/>
  <c r="D10" i="5"/>
  <c r="L9" i="5"/>
  <c r="H9" i="5"/>
  <c r="D9" i="5"/>
  <c r="L8" i="5"/>
  <c r="L18" i="5" s="1"/>
  <c r="H8" i="5"/>
  <c r="H18" i="5" s="1"/>
  <c r="D8" i="5"/>
  <c r="D18" i="5" s="1"/>
  <c r="L5" i="5"/>
  <c r="H5" i="5"/>
  <c r="D5" i="5"/>
  <c r="L4" i="5"/>
  <c r="H4" i="5"/>
  <c r="D4" i="5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5" i="4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7" i="3"/>
  <c r="F8" i="3" s="1"/>
  <c r="F9" i="3" s="1"/>
  <c r="F10" i="3" s="1"/>
  <c r="F6" i="3"/>
  <c r="F5" i="3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74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W57" i="2"/>
  <c r="R57" i="2"/>
  <c r="R56" i="2"/>
  <c r="R55" i="2"/>
  <c r="R54" i="2"/>
  <c r="W53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S146" i="1"/>
  <c r="R146" i="1"/>
  <c r="O146" i="1"/>
  <c r="N146" i="1"/>
  <c r="M146" i="1"/>
  <c r="L146" i="1"/>
  <c r="K146" i="1"/>
  <c r="J146" i="1"/>
  <c r="I146" i="1"/>
  <c r="H146" i="1"/>
  <c r="F145" i="1"/>
  <c r="G145" i="1" s="1"/>
  <c r="T145" i="1" s="1"/>
  <c r="F144" i="1"/>
  <c r="G144" i="1" s="1"/>
  <c r="T144" i="1" s="1"/>
  <c r="F143" i="1"/>
  <c r="G143" i="1" s="1"/>
  <c r="T143" i="1" s="1"/>
  <c r="F142" i="1"/>
  <c r="G142" i="1" s="1"/>
  <c r="T142" i="1" s="1"/>
  <c r="F141" i="1"/>
  <c r="G141" i="1" s="1"/>
  <c r="T141" i="1" s="1"/>
  <c r="F140" i="1"/>
  <c r="G140" i="1" s="1"/>
  <c r="T140" i="1" s="1"/>
  <c r="F139" i="1"/>
  <c r="G139" i="1" s="1"/>
  <c r="T139" i="1" s="1"/>
  <c r="F138" i="1"/>
  <c r="G138" i="1" s="1"/>
  <c r="T138" i="1" s="1"/>
  <c r="F137" i="1"/>
  <c r="G137" i="1" s="1"/>
  <c r="T137" i="1" s="1"/>
  <c r="F136" i="1"/>
  <c r="G136" i="1" s="1"/>
  <c r="T136" i="1" s="1"/>
  <c r="F135" i="1"/>
  <c r="F134" i="1"/>
  <c r="G134" i="1" s="1"/>
  <c r="T134" i="1" s="1"/>
  <c r="F133" i="1"/>
  <c r="G133" i="1" s="1"/>
  <c r="T133" i="1" s="1"/>
  <c r="G127" i="1"/>
  <c r="T127" i="1" s="1"/>
  <c r="G126" i="1"/>
  <c r="T126" i="1" s="1"/>
  <c r="G125" i="1"/>
  <c r="T125" i="1" s="1"/>
  <c r="G124" i="1"/>
  <c r="T124" i="1" s="1"/>
  <c r="G123" i="1"/>
  <c r="T123" i="1" s="1"/>
  <c r="G122" i="1"/>
  <c r="T122" i="1" s="1"/>
  <c r="G121" i="1"/>
  <c r="T121" i="1" s="1"/>
  <c r="G120" i="1"/>
  <c r="T120" i="1" s="1"/>
  <c r="G119" i="1"/>
  <c r="T119" i="1" s="1"/>
  <c r="G118" i="1"/>
  <c r="T118" i="1" s="1"/>
  <c r="G117" i="1"/>
  <c r="T117" i="1" s="1"/>
  <c r="G116" i="1"/>
  <c r="T116" i="1" s="1"/>
  <c r="G115" i="1"/>
  <c r="T115" i="1" s="1"/>
  <c r="G114" i="1"/>
  <c r="T114" i="1" s="1"/>
  <c r="G113" i="1"/>
  <c r="T113" i="1" s="1"/>
  <c r="G112" i="1"/>
  <c r="T112" i="1" s="1"/>
  <c r="G111" i="1"/>
  <c r="T111" i="1" s="1"/>
  <c r="G110" i="1"/>
  <c r="T110" i="1" s="1"/>
  <c r="G109" i="1"/>
  <c r="T109" i="1" s="1"/>
  <c r="G108" i="1"/>
  <c r="T108" i="1" s="1"/>
  <c r="G107" i="1"/>
  <c r="T107" i="1" s="1"/>
  <c r="G106" i="1"/>
  <c r="T106" i="1" s="1"/>
  <c r="G105" i="1"/>
  <c r="T105" i="1" s="1"/>
  <c r="G104" i="1"/>
  <c r="T104" i="1" s="1"/>
  <c r="G103" i="1"/>
  <c r="T103" i="1" s="1"/>
  <c r="G102" i="1"/>
  <c r="T102" i="1" s="1"/>
  <c r="G101" i="1"/>
  <c r="T101" i="1" s="1"/>
  <c r="G100" i="1"/>
  <c r="T100" i="1" s="1"/>
  <c r="G99" i="1"/>
  <c r="T99" i="1" s="1"/>
  <c r="G98" i="1"/>
  <c r="T98" i="1" s="1"/>
  <c r="G97" i="1"/>
  <c r="T97" i="1" s="1"/>
  <c r="G96" i="1"/>
  <c r="T96" i="1" s="1"/>
  <c r="G95" i="1"/>
  <c r="T95" i="1" s="1"/>
  <c r="G94" i="1"/>
  <c r="T94" i="1" s="1"/>
  <c r="G93" i="1"/>
  <c r="T93" i="1" s="1"/>
  <c r="G92" i="1"/>
  <c r="T92" i="1" s="1"/>
  <c r="G91" i="1"/>
  <c r="T91" i="1" s="1"/>
  <c r="G90" i="1"/>
  <c r="T90" i="1" s="1"/>
  <c r="G89" i="1"/>
  <c r="T89" i="1" s="1"/>
  <c r="G88" i="1"/>
  <c r="T88" i="1" s="1"/>
  <c r="G87" i="1"/>
  <c r="T87" i="1" s="1"/>
  <c r="G86" i="1"/>
  <c r="T86" i="1" s="1"/>
  <c r="G85" i="1"/>
  <c r="T85" i="1" s="1"/>
  <c r="G84" i="1"/>
  <c r="T84" i="1" s="1"/>
  <c r="G83" i="1"/>
  <c r="T83" i="1" s="1"/>
  <c r="G82" i="1"/>
  <c r="T82" i="1" s="1"/>
  <c r="G81" i="1"/>
  <c r="T81" i="1" s="1"/>
  <c r="G80" i="1"/>
  <c r="T80" i="1" s="1"/>
  <c r="G79" i="1"/>
  <c r="T79" i="1" s="1"/>
  <c r="G78" i="1"/>
  <c r="T78" i="1" s="1"/>
  <c r="G77" i="1"/>
  <c r="T77" i="1" s="1"/>
  <c r="G76" i="1"/>
  <c r="T76" i="1" s="1"/>
  <c r="G75" i="1"/>
  <c r="T75" i="1" s="1"/>
  <c r="G74" i="1"/>
  <c r="T74" i="1" s="1"/>
  <c r="G73" i="1"/>
  <c r="T73" i="1" s="1"/>
  <c r="G72" i="1"/>
  <c r="T72" i="1" s="1"/>
  <c r="G71" i="1"/>
  <c r="T71" i="1" s="1"/>
  <c r="G70" i="1"/>
  <c r="T70" i="1" s="1"/>
  <c r="G69" i="1"/>
  <c r="T69" i="1" s="1"/>
  <c r="G68" i="1"/>
  <c r="T68" i="1" s="1"/>
  <c r="G67" i="1"/>
  <c r="T67" i="1" s="1"/>
  <c r="G66" i="1"/>
  <c r="T66" i="1" s="1"/>
  <c r="G65" i="1"/>
  <c r="T65" i="1" s="1"/>
  <c r="G64" i="1"/>
  <c r="T64" i="1" s="1"/>
  <c r="G63" i="1"/>
  <c r="T63" i="1" s="1"/>
  <c r="G62" i="1"/>
  <c r="T62" i="1" s="1"/>
  <c r="G61" i="1"/>
  <c r="T61" i="1" s="1"/>
  <c r="G60" i="1"/>
  <c r="T60" i="1" s="1"/>
  <c r="G59" i="1"/>
  <c r="T59" i="1" s="1"/>
  <c r="G58" i="1"/>
  <c r="T58" i="1" s="1"/>
  <c r="G57" i="1"/>
  <c r="T57" i="1" s="1"/>
  <c r="Y56" i="1"/>
  <c r="G56" i="1"/>
  <c r="T56" i="1" s="1"/>
  <c r="G55" i="1"/>
  <c r="T55" i="1" s="1"/>
  <c r="G54" i="1"/>
  <c r="T54" i="1" s="1"/>
  <c r="G53" i="1"/>
  <c r="T53" i="1" s="1"/>
  <c r="Y52" i="1"/>
  <c r="G52" i="1"/>
  <c r="T52" i="1" s="1"/>
  <c r="G51" i="1"/>
  <c r="T51" i="1" s="1"/>
  <c r="G50" i="1"/>
  <c r="T50" i="1" s="1"/>
  <c r="G49" i="1"/>
  <c r="T49" i="1" s="1"/>
  <c r="G48" i="1"/>
  <c r="T48" i="1" s="1"/>
  <c r="G47" i="1"/>
  <c r="T47" i="1" s="1"/>
  <c r="G46" i="1"/>
  <c r="T46" i="1" s="1"/>
  <c r="G45" i="1"/>
  <c r="T45" i="1" s="1"/>
  <c r="G44" i="1"/>
  <c r="T44" i="1" s="1"/>
  <c r="G43" i="1"/>
  <c r="T43" i="1" s="1"/>
  <c r="G42" i="1"/>
  <c r="T42" i="1" s="1"/>
  <c r="G41" i="1"/>
  <c r="T41" i="1" s="1"/>
  <c r="G40" i="1"/>
  <c r="T40" i="1" s="1"/>
  <c r="G39" i="1"/>
  <c r="T39" i="1" s="1"/>
  <c r="G38" i="1"/>
  <c r="T38" i="1" s="1"/>
  <c r="G37" i="1"/>
  <c r="T37" i="1" s="1"/>
  <c r="G36" i="1"/>
  <c r="T36" i="1" s="1"/>
  <c r="G35" i="1"/>
  <c r="T35" i="1" s="1"/>
  <c r="G34" i="1"/>
  <c r="T34" i="1" s="1"/>
  <c r="G33" i="1"/>
  <c r="T33" i="1" s="1"/>
  <c r="G32" i="1"/>
  <c r="T32" i="1" s="1"/>
  <c r="G31" i="1"/>
  <c r="T31" i="1" s="1"/>
  <c r="G30" i="1"/>
  <c r="T30" i="1" s="1"/>
  <c r="G29" i="1"/>
  <c r="T29" i="1" s="1"/>
  <c r="G28" i="1"/>
  <c r="T28" i="1" s="1"/>
  <c r="G27" i="1"/>
  <c r="T27" i="1" s="1"/>
  <c r="G26" i="1"/>
  <c r="T26" i="1" s="1"/>
  <c r="G25" i="1"/>
  <c r="T25" i="1" s="1"/>
  <c r="G24" i="1"/>
  <c r="T24" i="1" s="1"/>
  <c r="G23" i="1"/>
  <c r="T23" i="1" s="1"/>
  <c r="G22" i="1"/>
  <c r="T22" i="1" s="1"/>
  <c r="G21" i="1"/>
  <c r="T21" i="1" s="1"/>
  <c r="G20" i="1"/>
  <c r="T20" i="1" s="1"/>
  <c r="G19" i="1"/>
  <c r="T19" i="1" s="1"/>
  <c r="G18" i="1"/>
  <c r="T18" i="1" s="1"/>
  <c r="G17" i="1"/>
  <c r="T17" i="1" s="1"/>
  <c r="G16" i="1"/>
  <c r="T16" i="1" s="1"/>
  <c r="G15" i="1"/>
  <c r="T15" i="1" s="1"/>
  <c r="G14" i="1"/>
  <c r="T14" i="1" s="1"/>
  <c r="G13" i="1"/>
  <c r="T13" i="1" s="1"/>
  <c r="G12" i="1"/>
  <c r="T12" i="1" s="1"/>
  <c r="G11" i="1"/>
  <c r="T11" i="1" s="1"/>
  <c r="G10" i="1"/>
  <c r="T10" i="1" s="1"/>
  <c r="G9" i="1"/>
  <c r="T9" i="1" s="1"/>
  <c r="G8" i="1"/>
  <c r="T8" i="1" s="1"/>
  <c r="G7" i="1"/>
  <c r="T7" i="1" s="1"/>
  <c r="G6" i="1"/>
  <c r="T6" i="1" s="1"/>
  <c r="G5" i="1"/>
  <c r="T5" i="1" s="1"/>
  <c r="G4" i="1"/>
  <c r="T4" i="1" s="1"/>
  <c r="G3" i="1"/>
  <c r="G2" i="1"/>
  <c r="T2" i="1" s="1"/>
  <c r="T3" i="1" l="1"/>
  <c r="G135" i="1"/>
  <c r="T135" i="1" s="1"/>
</calcChain>
</file>

<file path=xl/comments1.xml><?xml version="1.0" encoding="utf-8"?>
<comments xmlns="http://schemas.openxmlformats.org/spreadsheetml/2006/main">
  <authors>
    <author>Hp</author>
  </authors>
  <commentList>
    <comment ref="F74" authorId="0" shapeId="0">
      <text>
        <r>
          <rPr>
            <sz val="11"/>
            <color theme="1"/>
            <rFont val="Calibri"/>
            <family val="2"/>
            <charset val="1"/>
            <scheme val="minor"/>
          </rPr>
          <t>Hp:
JAN25 &amp; NOV24</t>
        </r>
      </text>
    </comment>
    <comment ref="B75" authorId="0" shapeId="0">
      <text>
        <r>
          <rPr>
            <sz val="11"/>
            <color theme="1"/>
            <rFont val="Calibri"/>
            <family val="2"/>
            <charset val="1"/>
            <scheme val="minor"/>
          </rPr>
          <t>Hp:
JAN 25 / NI AFF ?</t>
        </r>
      </text>
    </comment>
    <comment ref="F95" authorId="0" shapeId="0">
      <text>
        <r>
          <rPr>
            <sz val="11"/>
            <color theme="1"/>
            <rFont val="Calibri"/>
            <family val="2"/>
            <charset val="1"/>
            <scheme val="minor"/>
          </rPr>
          <t xml:space="preserve">Hp:
DES -JAN </t>
        </r>
      </text>
    </comment>
    <comment ref="B130" authorId="0" shapeId="0">
      <text>
        <r>
          <rPr>
            <sz val="11"/>
            <color theme="1"/>
            <rFont val="Calibri"/>
            <family val="2"/>
            <charset val="1"/>
            <scheme val="minor"/>
          </rPr>
          <t xml:space="preserve">Hp:
ANGGOTA BARU JAN 25
</t>
        </r>
      </text>
    </comment>
  </commentList>
</comments>
</file>

<file path=xl/sharedStrings.xml><?xml version="1.0" encoding="utf-8"?>
<sst xmlns="http://schemas.openxmlformats.org/spreadsheetml/2006/main" count="4101" uniqueCount="690">
  <si>
    <t>BSKM RT 007</t>
  </si>
  <si>
    <t>Total Dana :</t>
  </si>
  <si>
    <t>No</t>
  </si>
  <si>
    <t xml:space="preserve">Nama </t>
  </si>
  <si>
    <t>Perum</t>
  </si>
  <si>
    <t>Blok</t>
  </si>
  <si>
    <t>No HP</t>
  </si>
  <si>
    <t>SALDO 2024</t>
  </si>
  <si>
    <t>SALDO 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</si>
  <si>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</si>
  <si>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</si>
  <si>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</si>
  <si>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</si>
  <si>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</si>
  <si>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</si>
  <si>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</si>
  <si>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</si>
  <si>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</si>
  <si>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</si>
  <si>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</si>
  <si>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</si>
  <si>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</si>
  <si>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A0001</t>
  </si>
  <si>
    <t>SURYO WINOTO</t>
  </si>
  <si>
    <t>BRI</t>
  </si>
  <si>
    <t>A-00</t>
  </si>
  <si>
    <t>085278032476</t>
  </si>
  <si>
    <t>A0002</t>
  </si>
  <si>
    <t>RIO</t>
  </si>
  <si>
    <t>A-02</t>
  </si>
  <si>
    <t>A0003</t>
  </si>
  <si>
    <t>ALEX</t>
  </si>
  <si>
    <t>A-03</t>
  </si>
  <si>
    <t>081225141604</t>
  </si>
  <si>
    <t>A0004</t>
  </si>
  <si>
    <t xml:space="preserve">NANANG </t>
  </si>
  <si>
    <t>A-06</t>
  </si>
  <si>
    <t>A0005</t>
  </si>
  <si>
    <t>AZIZ</t>
  </si>
  <si>
    <t>A-07</t>
  </si>
  <si>
    <t>085272036042</t>
  </si>
  <si>
    <t>A0006</t>
  </si>
  <si>
    <t>MARVIN</t>
  </si>
  <si>
    <t>A-09</t>
  </si>
  <si>
    <t>082389129277</t>
  </si>
  <si>
    <t>A0007</t>
  </si>
  <si>
    <t>PUTRA</t>
  </si>
  <si>
    <t>A-14</t>
  </si>
  <si>
    <t>081277134843</t>
  </si>
  <si>
    <t>A0008</t>
  </si>
  <si>
    <t>ZULFAJRI</t>
  </si>
  <si>
    <t>A-16</t>
  </si>
  <si>
    <t>082170182359</t>
  </si>
  <si>
    <t>A0009</t>
  </si>
  <si>
    <t>SYAFRUDDIN</t>
  </si>
  <si>
    <t>A-18</t>
  </si>
  <si>
    <t>A0010</t>
  </si>
  <si>
    <t>DAVI</t>
  </si>
  <si>
    <t>A-19</t>
  </si>
  <si>
    <t>A0012</t>
  </si>
  <si>
    <t>AHMAT</t>
  </si>
  <si>
    <t>A-21</t>
  </si>
  <si>
    <t>081383748814</t>
  </si>
  <si>
    <t>A0013</t>
  </si>
  <si>
    <t>DEFRIZAL</t>
  </si>
  <si>
    <t>A-23</t>
  </si>
  <si>
    <t>081388685011</t>
  </si>
  <si>
    <t>A0014</t>
  </si>
  <si>
    <t>ADEK</t>
  </si>
  <si>
    <t>A-24</t>
  </si>
  <si>
    <t>082283513560</t>
  </si>
  <si>
    <t>A0015</t>
  </si>
  <si>
    <t>BUSMAN</t>
  </si>
  <si>
    <t>B-01</t>
  </si>
  <si>
    <t>A0016</t>
  </si>
  <si>
    <t>OYON</t>
  </si>
  <si>
    <t>B-02</t>
  </si>
  <si>
    <t>A0017</t>
  </si>
  <si>
    <t>RINALDI</t>
  </si>
  <si>
    <t>B-03</t>
  </si>
  <si>
    <t>A0018</t>
  </si>
  <si>
    <t>ANTONI</t>
  </si>
  <si>
    <t>B-04</t>
  </si>
  <si>
    <t>A0019</t>
  </si>
  <si>
    <t>ABD MUHAFIZ NASUTION</t>
  </si>
  <si>
    <t>B-05</t>
  </si>
  <si>
    <t>081270071124</t>
  </si>
  <si>
    <t>A0020</t>
  </si>
  <si>
    <t>MAISYARAH</t>
  </si>
  <si>
    <t>B-06</t>
  </si>
  <si>
    <t>081261542824</t>
  </si>
  <si>
    <t>A0021</t>
  </si>
  <si>
    <t>Wili</t>
  </si>
  <si>
    <t>B-08</t>
  </si>
  <si>
    <t>082358845454</t>
  </si>
  <si>
    <t>A0022</t>
  </si>
  <si>
    <t>HENDRA</t>
  </si>
  <si>
    <t>B-09</t>
  </si>
  <si>
    <t>081378207690</t>
  </si>
  <si>
    <t>A0023</t>
  </si>
  <si>
    <t>AZWIR</t>
  </si>
  <si>
    <t>B-10</t>
  </si>
  <si>
    <t>081364881722</t>
  </si>
  <si>
    <t>A0024</t>
  </si>
  <si>
    <t>ACIN</t>
  </si>
  <si>
    <t>B-11</t>
  </si>
  <si>
    <t>081269541212</t>
  </si>
  <si>
    <t>A0025</t>
  </si>
  <si>
    <t>NAZRI</t>
  </si>
  <si>
    <t>B-12</t>
  </si>
  <si>
    <t>082286622199</t>
  </si>
  <si>
    <t>A0026</t>
  </si>
  <si>
    <t>DANI</t>
  </si>
  <si>
    <t>B-14</t>
  </si>
  <si>
    <t>08526328333</t>
  </si>
  <si>
    <t>A0027</t>
  </si>
  <si>
    <t>INDRA  /Wahidar</t>
  </si>
  <si>
    <t>082272464633</t>
  </si>
  <si>
    <t>A0028</t>
  </si>
  <si>
    <t>AMRIL HAMBIYA</t>
  </si>
  <si>
    <t>ERCE</t>
  </si>
  <si>
    <t>A-01</t>
  </si>
  <si>
    <t>A0029</t>
  </si>
  <si>
    <t>SELLY</t>
  </si>
  <si>
    <t>A0030</t>
  </si>
  <si>
    <t>ASRIZAL</t>
  </si>
  <si>
    <t>081372731426</t>
  </si>
  <si>
    <t>A0031</t>
  </si>
  <si>
    <t>PEMBERLIAN TONI</t>
  </si>
  <si>
    <t>A-04</t>
  </si>
  <si>
    <t>A0032</t>
  </si>
  <si>
    <t>YUSPIONO</t>
  </si>
  <si>
    <t>A-05</t>
  </si>
  <si>
    <t>A0033</t>
  </si>
  <si>
    <t>Risda / Torang S</t>
  </si>
  <si>
    <t>A0034</t>
  </si>
  <si>
    <t xml:space="preserve">Heldawati </t>
  </si>
  <si>
    <t>082390914999</t>
  </si>
  <si>
    <t>A0035</t>
  </si>
  <si>
    <t>JOKO</t>
  </si>
  <si>
    <t>082384966600</t>
  </si>
  <si>
    <t>A0036</t>
  </si>
  <si>
    <t>RUDI</t>
  </si>
  <si>
    <t>A0037</t>
  </si>
  <si>
    <t>SILABAN</t>
  </si>
  <si>
    <t>082387631737</t>
  </si>
  <si>
    <t>A0038</t>
  </si>
  <si>
    <t>EKO</t>
  </si>
  <si>
    <t>081914438999</t>
  </si>
  <si>
    <t>A0039</t>
  </si>
  <si>
    <t>AHMAD</t>
  </si>
  <si>
    <t>B-07</t>
  </si>
  <si>
    <t>081276709499</t>
  </si>
  <si>
    <t>A0040</t>
  </si>
  <si>
    <t>ALFIZ</t>
  </si>
  <si>
    <t>08238879821</t>
  </si>
  <si>
    <t>A0041</t>
  </si>
  <si>
    <t>ANDI  /IBET</t>
  </si>
  <si>
    <t>A0042</t>
  </si>
  <si>
    <t>NOVPIAR EFFENDI</t>
  </si>
  <si>
    <t>A0043</t>
  </si>
  <si>
    <t>EKO YP</t>
  </si>
  <si>
    <t>B-13</t>
  </si>
  <si>
    <t>A0044</t>
  </si>
  <si>
    <t>HAMUNAR</t>
  </si>
  <si>
    <t>B-15</t>
  </si>
  <si>
    <t>A0045</t>
  </si>
  <si>
    <t>Azwir</t>
  </si>
  <si>
    <t>B-16</t>
  </si>
  <si>
    <t>A0046</t>
  </si>
  <si>
    <t>C-06</t>
  </si>
  <si>
    <t>A0047</t>
  </si>
  <si>
    <t>BAYU</t>
  </si>
  <si>
    <t>C-07</t>
  </si>
  <si>
    <t>081268978488</t>
  </si>
  <si>
    <t>A0048</t>
  </si>
  <si>
    <t>EDWAR</t>
  </si>
  <si>
    <t>C-08</t>
  </si>
  <si>
    <t>082388417170</t>
  </si>
  <si>
    <t>A0049</t>
  </si>
  <si>
    <t>ZULHADI AZIZ</t>
  </si>
  <si>
    <t>C-09</t>
  </si>
  <si>
    <t>A0050</t>
  </si>
  <si>
    <t>ZULHAM</t>
  </si>
  <si>
    <t>C-10</t>
  </si>
  <si>
    <t>A0051</t>
  </si>
  <si>
    <t>Amel</t>
  </si>
  <si>
    <t>C-11</t>
  </si>
  <si>
    <t>A0052</t>
  </si>
  <si>
    <t>DAFRI</t>
  </si>
  <si>
    <t>D-01</t>
  </si>
  <si>
    <t>082171999961</t>
  </si>
  <si>
    <t>CONTROL</t>
  </si>
  <si>
    <t>A0053</t>
  </si>
  <si>
    <t>YAYAN</t>
  </si>
  <si>
    <t>GGL</t>
  </si>
  <si>
    <t>08127132121</t>
  </si>
  <si>
    <t>A0054</t>
  </si>
  <si>
    <t>WAHYUDI</t>
  </si>
  <si>
    <t>A-10</t>
  </si>
  <si>
    <t>082286359979</t>
  </si>
  <si>
    <t>A0055</t>
  </si>
  <si>
    <t>LOIZA</t>
  </si>
  <si>
    <t>A-11</t>
  </si>
  <si>
    <t>081374990398</t>
  </si>
  <si>
    <t>A0056</t>
  </si>
  <si>
    <t>DIAN MASMUNA</t>
  </si>
  <si>
    <t>081277595280</t>
  </si>
  <si>
    <t>CURRENT</t>
  </si>
  <si>
    <t>A0057</t>
  </si>
  <si>
    <t>JULIO</t>
  </si>
  <si>
    <t>A-15</t>
  </si>
  <si>
    <t>085212987500</t>
  </si>
  <si>
    <t>A0058</t>
  </si>
  <si>
    <t>SAFRUDDIN</t>
  </si>
  <si>
    <t>081275112597</t>
  </si>
  <si>
    <t>A0059</t>
  </si>
  <si>
    <t>082175955601</t>
  </si>
  <si>
    <t>SALDO</t>
  </si>
  <si>
    <t>A0060</t>
  </si>
  <si>
    <t>ROHMAN</t>
  </si>
  <si>
    <t>A0061</t>
  </si>
  <si>
    <t>IKHWAN</t>
  </si>
  <si>
    <t>081275578377</t>
  </si>
  <si>
    <t>A0062</t>
  </si>
  <si>
    <t>ELGI</t>
  </si>
  <si>
    <t>082289521232</t>
  </si>
  <si>
    <t>A0063</t>
  </si>
  <si>
    <t>ANDI</t>
  </si>
  <si>
    <t>081266018280</t>
  </si>
  <si>
    <t>A0064</t>
  </si>
  <si>
    <t>PERI</t>
  </si>
  <si>
    <t>082384578431</t>
  </si>
  <si>
    <t>A0065</t>
  </si>
  <si>
    <t>YUDI</t>
  </si>
  <si>
    <t>081210502157</t>
  </si>
  <si>
    <t>A0066</t>
  </si>
  <si>
    <t>RIKO</t>
  </si>
  <si>
    <t>A0067</t>
  </si>
  <si>
    <t>NURUL</t>
  </si>
  <si>
    <t>C-01</t>
  </si>
  <si>
    <t>A0068</t>
  </si>
  <si>
    <t>FIKRI</t>
  </si>
  <si>
    <t>C-02</t>
  </si>
  <si>
    <t>085264012996</t>
  </si>
  <si>
    <t>A0069</t>
  </si>
  <si>
    <t>C-03</t>
  </si>
  <si>
    <t>082391281036</t>
  </si>
  <si>
    <t>A0070</t>
  </si>
  <si>
    <t>FADAU</t>
  </si>
  <si>
    <t>082175586495</t>
  </si>
  <si>
    <t>A0071</t>
  </si>
  <si>
    <t xml:space="preserve">AMY </t>
  </si>
  <si>
    <t>C-05</t>
  </si>
  <si>
    <t>087798066605</t>
  </si>
  <si>
    <t>A0072</t>
  </si>
  <si>
    <t>bayu</t>
  </si>
  <si>
    <t>082170089315</t>
  </si>
  <si>
    <t>A0073</t>
  </si>
  <si>
    <t xml:space="preserve">ARI </t>
  </si>
  <si>
    <t>A0074</t>
  </si>
  <si>
    <t>YUSRA</t>
  </si>
  <si>
    <t>C-14</t>
  </si>
  <si>
    <t>083136830730</t>
  </si>
  <si>
    <t>A0075</t>
  </si>
  <si>
    <t>ALFI</t>
  </si>
  <si>
    <t>C-16</t>
  </si>
  <si>
    <t>A0076</t>
  </si>
  <si>
    <t>BENI</t>
  </si>
  <si>
    <t>D-02</t>
  </si>
  <si>
    <t>085355534897</t>
  </si>
  <si>
    <t>A0077</t>
  </si>
  <si>
    <t>IMAM</t>
  </si>
  <si>
    <t>D-03</t>
  </si>
  <si>
    <t>082386874792</t>
  </si>
  <si>
    <t>A0078</t>
  </si>
  <si>
    <t>MUCHSIN</t>
  </si>
  <si>
    <t>D-07</t>
  </si>
  <si>
    <t>085264528449</t>
  </si>
  <si>
    <t>A0079</t>
  </si>
  <si>
    <t>DENDI</t>
  </si>
  <si>
    <t>E-08</t>
  </si>
  <si>
    <t>A0080</t>
  </si>
  <si>
    <t>RISKI</t>
  </si>
  <si>
    <t>D-08</t>
  </si>
  <si>
    <t>A0081</t>
  </si>
  <si>
    <t>ARMAN</t>
  </si>
  <si>
    <t>D-16</t>
  </si>
  <si>
    <t>085206800934</t>
  </si>
  <si>
    <t>A0082</t>
  </si>
  <si>
    <t>FANDI</t>
  </si>
  <si>
    <t>D-17</t>
  </si>
  <si>
    <t>A0084</t>
  </si>
  <si>
    <t>ISKAK</t>
  </si>
  <si>
    <t>D-18</t>
  </si>
  <si>
    <t>A0085</t>
  </si>
  <si>
    <t>HENDRO</t>
  </si>
  <si>
    <t>E-01</t>
  </si>
  <si>
    <t>082173938898</t>
  </si>
  <si>
    <t>A0086</t>
  </si>
  <si>
    <t>JAMER</t>
  </si>
  <si>
    <t>E-02</t>
  </si>
  <si>
    <t>A0087</t>
  </si>
  <si>
    <t>NOVAN</t>
  </si>
  <si>
    <t>E-04</t>
  </si>
  <si>
    <t>A0088</t>
  </si>
  <si>
    <t>E-05</t>
  </si>
  <si>
    <t>A0089</t>
  </si>
  <si>
    <t>E-06</t>
  </si>
  <si>
    <t>08537667946</t>
  </si>
  <si>
    <t>A0090</t>
  </si>
  <si>
    <t>Wendri</t>
  </si>
  <si>
    <t>E-19</t>
  </si>
  <si>
    <t>0813-78748430</t>
  </si>
  <si>
    <t>A0091</t>
  </si>
  <si>
    <t>RAHMAT</t>
  </si>
  <si>
    <t>E-20</t>
  </si>
  <si>
    <t>A0092</t>
  </si>
  <si>
    <t>NOVRIANTO</t>
  </si>
  <si>
    <t>E-21</t>
  </si>
  <si>
    <t>A0093</t>
  </si>
  <si>
    <t>ARIF HADI PRAYITNO</t>
  </si>
  <si>
    <t>E-22</t>
  </si>
  <si>
    <t>A0094</t>
  </si>
  <si>
    <t>SETIAWAN</t>
  </si>
  <si>
    <t>E-24</t>
  </si>
  <si>
    <t>085171602571</t>
  </si>
  <si>
    <t>A0095</t>
  </si>
  <si>
    <t>DADANG</t>
  </si>
  <si>
    <t>F-03</t>
  </si>
  <si>
    <t>A0096</t>
  </si>
  <si>
    <t>PAK DE JOKO</t>
  </si>
  <si>
    <t>F-05</t>
  </si>
  <si>
    <t>A0097</t>
  </si>
  <si>
    <t>JUMADI</t>
  </si>
  <si>
    <t>F-08</t>
  </si>
  <si>
    <t>A0098</t>
  </si>
  <si>
    <t>INANG  /Desra</t>
  </si>
  <si>
    <t>F-11</t>
  </si>
  <si>
    <t>083896514915</t>
  </si>
  <si>
    <t>A0099</t>
  </si>
  <si>
    <t>ANGGRA WELRIAN</t>
  </si>
  <si>
    <t>G-05</t>
  </si>
  <si>
    <t>08127644648</t>
  </si>
  <si>
    <t>A0100</t>
  </si>
  <si>
    <t>SUHENDRA</t>
  </si>
  <si>
    <t>G-06</t>
  </si>
  <si>
    <t>08212751244</t>
  </si>
  <si>
    <t>A0101</t>
  </si>
  <si>
    <t>AGUS RIADI</t>
  </si>
  <si>
    <t>G-07</t>
  </si>
  <si>
    <t>085376874064</t>
  </si>
  <si>
    <t>A0102</t>
  </si>
  <si>
    <t>SYAFRIZON</t>
  </si>
  <si>
    <t>G-08</t>
  </si>
  <si>
    <t>082385799558</t>
  </si>
  <si>
    <t>A0103</t>
  </si>
  <si>
    <t>RIFAL</t>
  </si>
  <si>
    <t>G-09</t>
  </si>
  <si>
    <t>A0104</t>
  </si>
  <si>
    <t>NANDA</t>
  </si>
  <si>
    <t>G-10</t>
  </si>
  <si>
    <t>082376736389</t>
  </si>
  <si>
    <t>A0105</t>
  </si>
  <si>
    <t>JUSMAN</t>
  </si>
  <si>
    <t>G-11</t>
  </si>
  <si>
    <t>085278631174</t>
  </si>
  <si>
    <t>A0106</t>
  </si>
  <si>
    <t>RENGGA</t>
  </si>
  <si>
    <t>G-16</t>
  </si>
  <si>
    <t>082268936619</t>
  </si>
  <si>
    <t>A0107</t>
  </si>
  <si>
    <t>PRAYOGA</t>
  </si>
  <si>
    <t>G-17</t>
  </si>
  <si>
    <t>A0109</t>
  </si>
  <si>
    <t>YADI</t>
  </si>
  <si>
    <t xml:space="preserve">GGL </t>
  </si>
  <si>
    <t>G-02</t>
  </si>
  <si>
    <t>A0110</t>
  </si>
  <si>
    <t>YUSNEL</t>
  </si>
  <si>
    <t>KUBANG</t>
  </si>
  <si>
    <t>K-01</t>
  </si>
  <si>
    <t>085363265882</t>
  </si>
  <si>
    <t>A0111</t>
  </si>
  <si>
    <t>SUTAN ANDRI</t>
  </si>
  <si>
    <t>K-02</t>
  </si>
  <si>
    <t>081371880862</t>
  </si>
  <si>
    <t>A0112</t>
  </si>
  <si>
    <t>YOZA MERIZAL</t>
  </si>
  <si>
    <t>K-03</t>
  </si>
  <si>
    <t>085355510393</t>
  </si>
  <si>
    <t>A0113</t>
  </si>
  <si>
    <t>PAK BAHARUDDIN</t>
  </si>
  <si>
    <t>K-04</t>
  </si>
  <si>
    <t>081268185178</t>
  </si>
  <si>
    <t>A0114</t>
  </si>
  <si>
    <t>YUSDAR</t>
  </si>
  <si>
    <t>K-05</t>
  </si>
  <si>
    <t>085263624976</t>
  </si>
  <si>
    <t>A0115</t>
  </si>
  <si>
    <t>SYAFRIL</t>
  </si>
  <si>
    <t>K-06</t>
  </si>
  <si>
    <t>085275442856</t>
  </si>
  <si>
    <t>A0116</t>
  </si>
  <si>
    <t>Ardiansyah</t>
  </si>
  <si>
    <t>K-07</t>
  </si>
  <si>
    <t>A0117</t>
  </si>
  <si>
    <t>Ajo Udin</t>
  </si>
  <si>
    <t>K-08</t>
  </si>
  <si>
    <t>A0118</t>
  </si>
  <si>
    <t>K-09</t>
  </si>
  <si>
    <t>A0119</t>
  </si>
  <si>
    <t>T JUNAIDI</t>
  </si>
  <si>
    <t>RTM</t>
  </si>
  <si>
    <t>085374063913</t>
  </si>
  <si>
    <t>A0120</t>
  </si>
  <si>
    <t xml:space="preserve">ANDRI </t>
  </si>
  <si>
    <t>081275527799</t>
  </si>
  <si>
    <t>A0121</t>
  </si>
  <si>
    <t>BRAMA BRATA SW</t>
  </si>
  <si>
    <t>B-5</t>
  </si>
  <si>
    <t>082210232323</t>
  </si>
  <si>
    <t>A0122</t>
  </si>
  <si>
    <t>NOVRI ANDIKA P</t>
  </si>
  <si>
    <t>082387195003</t>
  </si>
  <si>
    <t>A0123</t>
  </si>
  <si>
    <t>HAWANI</t>
  </si>
  <si>
    <t>082122549237</t>
  </si>
  <si>
    <t>A0124</t>
  </si>
  <si>
    <t>AMRAN</t>
  </si>
  <si>
    <t>D-11</t>
  </si>
  <si>
    <t>082148256521</t>
  </si>
  <si>
    <t>A0125</t>
  </si>
  <si>
    <t>AFRIZAL EFFENDI</t>
  </si>
  <si>
    <t>D-8</t>
  </si>
  <si>
    <t>081276488737</t>
  </si>
  <si>
    <t>A0126</t>
  </si>
  <si>
    <t>Rizal Prytama</t>
  </si>
  <si>
    <t>081361224927</t>
  </si>
  <si>
    <t>A0127</t>
  </si>
  <si>
    <t>HERI MULYADI</t>
  </si>
  <si>
    <t>E-10</t>
  </si>
  <si>
    <t>081275960904</t>
  </si>
  <si>
    <t>A0128</t>
  </si>
  <si>
    <t>RYAN WIBOWO</t>
  </si>
  <si>
    <t>E-8</t>
  </si>
  <si>
    <t>085372056394</t>
  </si>
  <si>
    <t>A0129</t>
  </si>
  <si>
    <t>ARDI</t>
  </si>
  <si>
    <t>082389962378</t>
  </si>
  <si>
    <t>A0130</t>
  </si>
  <si>
    <t>WANDI</t>
  </si>
  <si>
    <t>081261788808</t>
  </si>
  <si>
    <t>A0131</t>
  </si>
  <si>
    <t>WAHYU</t>
  </si>
  <si>
    <t>A0132</t>
  </si>
  <si>
    <t>AGUS</t>
  </si>
  <si>
    <t>C-12</t>
  </si>
  <si>
    <t>A0133</t>
  </si>
  <si>
    <t>ERI</t>
  </si>
  <si>
    <t>D-04</t>
  </si>
  <si>
    <t>A0134</t>
  </si>
  <si>
    <t>HENDRIANTO</t>
  </si>
  <si>
    <t>D-09</t>
  </si>
  <si>
    <t>A0135</t>
  </si>
  <si>
    <t>ISWANTO</t>
  </si>
  <si>
    <t>D-15</t>
  </si>
  <si>
    <t>A0136</t>
  </si>
  <si>
    <t>ARIF</t>
  </si>
  <si>
    <t>D-22</t>
  </si>
  <si>
    <t>A0137</t>
  </si>
  <si>
    <t>DONI</t>
  </si>
  <si>
    <t>E-16</t>
  </si>
  <si>
    <t>A0138</t>
  </si>
  <si>
    <t>IRFAN</t>
  </si>
  <si>
    <t>G-03</t>
  </si>
  <si>
    <t>MULYADI</t>
  </si>
  <si>
    <t>G-04</t>
  </si>
  <si>
    <t>DESEMBER KAK YANTI SETOR LBH 50000 AN RIDO DICORET</t>
  </si>
  <si>
    <t xml:space="preserve">WAHYU </t>
  </si>
  <si>
    <t>C-13</t>
  </si>
  <si>
    <t>ADI</t>
  </si>
  <si>
    <t>Pemakaian Uang Iuran Tanah</t>
  </si>
  <si>
    <t xml:space="preserve">Tgl </t>
  </si>
  <si>
    <t>Keterangan</t>
  </si>
  <si>
    <t>Debet</t>
  </si>
  <si>
    <t>Credit</t>
  </si>
  <si>
    <t>Saldo</t>
  </si>
  <si>
    <t>Saldo Iuran Tanah 31 Desember 2024</t>
  </si>
  <si>
    <t>Iuran Tanah GGL ( JAN-FEB 2025 )</t>
  </si>
  <si>
    <t>Iuran Tanah RCM-BRI-Sekitar</t>
  </si>
  <si>
    <t>Diketahui</t>
  </si>
  <si>
    <t>Bendahara</t>
  </si>
  <si>
    <t>Sekretaris</t>
  </si>
  <si>
    <t>Ketua</t>
  </si>
  <si>
    <t>(Novpiar Effendi)</t>
  </si>
  <si>
    <t>(Rohman)</t>
  </si>
  <si>
    <t>(Yuspiono)</t>
  </si>
  <si>
    <t>Saldo Iuran Bulanan 2024</t>
  </si>
  <si>
    <t>Saldo Iuran  bulanantahun 2024</t>
  </si>
  <si>
    <t>Iuran Bln JAN-Maret 2025 GGL</t>
  </si>
  <si>
    <t>Fardu kifayah anak dari Doni  ggl e-16</t>
  </si>
  <si>
    <t>Fardu kifayah mertua Riko ggl B-13</t>
  </si>
  <si>
    <t>Iuran bln jan-juni RTM</t>
  </si>
  <si>
    <t>Iuran BRI-RCM Jan-feb (bbrp s.d juli)</t>
  </si>
  <si>
    <t>Dibuat .12 Januari 2025</t>
  </si>
  <si>
    <t>IURAN TANAH MAKAM BSKM RT 007/001 DUSUN I - TARAI BANGUN</t>
  </si>
  <si>
    <t>:</t>
  </si>
  <si>
    <t>Nama</t>
  </si>
  <si>
    <t>Alamat</t>
  </si>
  <si>
    <t>IURAN :</t>
  </si>
  <si>
    <t>Ang  1</t>
  </si>
  <si>
    <t>Ang  2</t>
  </si>
  <si>
    <t>Ang  3</t>
  </si>
  <si>
    <t>Ang  4</t>
  </si>
  <si>
    <t>Ang  5</t>
  </si>
  <si>
    <t>Ang  6</t>
  </si>
  <si>
    <t>Ang  7</t>
  </si>
  <si>
    <t>Ang  8</t>
  </si>
  <si>
    <t>Ang  9</t>
  </si>
  <si>
    <t>Ang  10</t>
  </si>
  <si>
    <t>Tabel Iuran Bulanan 2024</t>
  </si>
  <si>
    <t>OKT 2024</t>
  </si>
  <si>
    <t>NOV 2024</t>
  </si>
  <si>
    <t>DES '2024</t>
  </si>
  <si>
    <t>Saldo :</t>
  </si>
  <si>
    <t>Current</t>
  </si>
  <si>
    <t>A-20</t>
  </si>
  <si>
    <t>EGI</t>
  </si>
  <si>
    <t>RICO</t>
  </si>
  <si>
    <t>NOV MULAI</t>
  </si>
  <si>
    <t>NI AF</t>
  </si>
  <si>
    <t>OKT MULAI</t>
  </si>
  <si>
    <t>MULAI DES</t>
  </si>
  <si>
    <t>ARIF MUHAIMI</t>
  </si>
  <si>
    <t>YULIDARMAN</t>
  </si>
  <si>
    <t>RENGGA PRATAMA</t>
  </si>
  <si>
    <t>(RUMAH PETAK)</t>
  </si>
  <si>
    <t>RIDO</t>
  </si>
  <si>
    <t>NANANG</t>
  </si>
  <si>
    <t>WILI</t>
  </si>
  <si>
    <t>INDRA /WAHIDAR</t>
  </si>
  <si>
    <t>RISDA / TORANG S</t>
  </si>
  <si>
    <t>HELDAWATI</t>
  </si>
  <si>
    <t>ANDI /IBET</t>
  </si>
  <si>
    <t>AMEL</t>
  </si>
  <si>
    <t>AMY</t>
  </si>
  <si>
    <t>ARI</t>
  </si>
  <si>
    <t>WENDRI</t>
  </si>
  <si>
    <t>INANG /DESRA</t>
  </si>
  <si>
    <t>ARDIANSYAH</t>
  </si>
  <si>
    <t>AJO UDIN</t>
  </si>
  <si>
    <t>ANDRI</t>
  </si>
  <si>
    <t>RIZAL PRYTAMA</t>
  </si>
  <si>
    <t xml:space="preserve">Iuran Pangkal Ke </t>
  </si>
  <si>
    <t>NoAnggota</t>
  </si>
  <si>
    <t>NamaAnggota</t>
  </si>
  <si>
    <t>Perumahan</t>
  </si>
  <si>
    <t>No Rumah</t>
  </si>
  <si>
    <t xml:space="preserve">Jumlah </t>
  </si>
  <si>
    <t>tgl</t>
  </si>
  <si>
    <t>BSKM-01</t>
  </si>
  <si>
    <t>Rio Donal</t>
  </si>
  <si>
    <t>BSKM-02</t>
  </si>
  <si>
    <t>Alek</t>
  </si>
  <si>
    <t>BSKM-03</t>
  </si>
  <si>
    <t>Antoni</t>
  </si>
  <si>
    <t>BSKM-04</t>
  </si>
  <si>
    <t>Nanang S</t>
  </si>
  <si>
    <t>BSKM-05</t>
  </si>
  <si>
    <t>Marvin S</t>
  </si>
  <si>
    <t>BSKM-06</t>
  </si>
  <si>
    <t>Putra</t>
  </si>
  <si>
    <t>BSKM-07</t>
  </si>
  <si>
    <t>Dedek S</t>
  </si>
  <si>
    <t>BSKM-08</t>
  </si>
  <si>
    <t>Syafruddin T</t>
  </si>
  <si>
    <t>BSKM-09</t>
  </si>
  <si>
    <t xml:space="preserve">Setiawan </t>
  </si>
  <si>
    <t>BSKM-10</t>
  </si>
  <si>
    <t>Ahmad</t>
  </si>
  <si>
    <t>BSKM-11</t>
  </si>
  <si>
    <t>Defrizal</t>
  </si>
  <si>
    <t>BSKM-12</t>
  </si>
  <si>
    <t>Busman</t>
  </si>
  <si>
    <t>BSKM-13</t>
  </si>
  <si>
    <t>Oyon P</t>
  </si>
  <si>
    <t>BSKM-14</t>
  </si>
  <si>
    <t>Abd Muhaffis</t>
  </si>
  <si>
    <t>BSKM-15</t>
  </si>
  <si>
    <t>Willy</t>
  </si>
  <si>
    <t>BSKM-16</t>
  </si>
  <si>
    <t>Hendra F</t>
  </si>
  <si>
    <t>BSKM-17</t>
  </si>
  <si>
    <t>Azwir T</t>
  </si>
  <si>
    <t>BSKM-18</t>
  </si>
  <si>
    <t>Zul Amri</t>
  </si>
  <si>
    <t>BSKM-19</t>
  </si>
  <si>
    <t>Nazri P</t>
  </si>
  <si>
    <t>BSKM-20</t>
  </si>
  <si>
    <t>Junaidi</t>
  </si>
  <si>
    <t>BSKM-21</t>
  </si>
  <si>
    <t>Dani</t>
  </si>
  <si>
    <t>BSKM-22</t>
  </si>
  <si>
    <t>Julio prasetya</t>
  </si>
  <si>
    <t>BSKM-23</t>
  </si>
  <si>
    <t>Rohman</t>
  </si>
  <si>
    <t>BSKM-24</t>
  </si>
  <si>
    <t>Ikhwan</t>
  </si>
  <si>
    <t>BSKM-25</t>
  </si>
  <si>
    <t>Andi Syahputra</t>
  </si>
  <si>
    <t>BSKM-26</t>
  </si>
  <si>
    <t>Amril H</t>
  </si>
  <si>
    <t>RCM</t>
  </si>
  <si>
    <t>BSKM-27</t>
  </si>
  <si>
    <t>Ari</t>
  </si>
  <si>
    <t>BSKM-28</t>
  </si>
  <si>
    <t>Asrizal</t>
  </si>
  <si>
    <t>BSKM-29</t>
  </si>
  <si>
    <t>Yuspiyono</t>
  </si>
  <si>
    <t>BSKM-30</t>
  </si>
  <si>
    <t>Torang S</t>
  </si>
  <si>
    <t>BSKM-31</t>
  </si>
  <si>
    <t>Fadillah</t>
  </si>
  <si>
    <t>BSKM-32</t>
  </si>
  <si>
    <t>Joko P</t>
  </si>
  <si>
    <t>BSKM-33</t>
  </si>
  <si>
    <t>Rudi Isra</t>
  </si>
  <si>
    <t>BSKM-34</t>
  </si>
  <si>
    <t>Metri</t>
  </si>
  <si>
    <t>BSKM-35</t>
  </si>
  <si>
    <t>Ahmad Hamzah</t>
  </si>
  <si>
    <t>BSKM-36</t>
  </si>
  <si>
    <t xml:space="preserve">Andi </t>
  </si>
  <si>
    <t>BSKM-37</t>
  </si>
  <si>
    <t>Novpiar Effendi</t>
  </si>
  <si>
    <t>BSKM-38</t>
  </si>
  <si>
    <t>Eko Prasetyo</t>
  </si>
  <si>
    <t>BSKM-39</t>
  </si>
  <si>
    <t>Hamunar</t>
  </si>
  <si>
    <t>BSKM-40</t>
  </si>
  <si>
    <t xml:space="preserve">Azwir </t>
  </si>
  <si>
    <t>BSKM-41</t>
  </si>
  <si>
    <t>Nanang</t>
  </si>
  <si>
    <t>C-</t>
  </si>
  <si>
    <t>BSKM-42</t>
  </si>
  <si>
    <t>Edwar</t>
  </si>
  <si>
    <t>BSKM-43</t>
  </si>
  <si>
    <t>Zulhadi Aziz</t>
  </si>
  <si>
    <t>BSKM-44</t>
  </si>
  <si>
    <t xml:space="preserve">Amel </t>
  </si>
  <si>
    <t>BSKM-45</t>
  </si>
  <si>
    <t>Maidafri</t>
  </si>
  <si>
    <t>BSKM-46</t>
  </si>
  <si>
    <t>Suryo W</t>
  </si>
  <si>
    <t>BSKM-47</t>
  </si>
  <si>
    <t>Baharuddin</t>
  </si>
  <si>
    <t>BSKM-48</t>
  </si>
  <si>
    <t>Yusnel</t>
  </si>
  <si>
    <t>BSKM-49</t>
  </si>
  <si>
    <t>Andri Sutan</t>
  </si>
  <si>
    <t>BSKM-50</t>
  </si>
  <si>
    <t>Wahyudi</t>
  </si>
  <si>
    <t>P-01</t>
  </si>
  <si>
    <t>BSKM-51</t>
  </si>
  <si>
    <t>Muslim</t>
  </si>
  <si>
    <t>RTA</t>
  </si>
  <si>
    <t>BSKM-52</t>
  </si>
  <si>
    <t>T Junaidi</t>
  </si>
  <si>
    <t>BSKM-53</t>
  </si>
  <si>
    <t>M Andri</t>
  </si>
  <si>
    <t>BSKM-54</t>
  </si>
  <si>
    <t>Adi Zulfianto</t>
  </si>
  <si>
    <t>BSKM-55</t>
  </si>
  <si>
    <t>Riduan</t>
  </si>
  <si>
    <t>C-04</t>
  </si>
  <si>
    <t>BSKM-56</t>
  </si>
  <si>
    <t>Afrizal</t>
  </si>
  <si>
    <t>BSKM-57</t>
  </si>
  <si>
    <t>Rizal Pryatama</t>
  </si>
  <si>
    <t>BSKM-58</t>
  </si>
  <si>
    <t>Riyan Wibowo Saputra</t>
  </si>
  <si>
    <t>BSKM-59</t>
  </si>
  <si>
    <t>Heri Mulyadi</t>
  </si>
  <si>
    <t>BSKM-60</t>
  </si>
  <si>
    <t>Brama Brata SW</t>
  </si>
  <si>
    <t>BSKM-61</t>
  </si>
  <si>
    <t>Dian Masmuna F</t>
  </si>
  <si>
    <t>BSKM-62</t>
  </si>
  <si>
    <t>Rinaldi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</si>
</sst>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-* #,##0_-;\-* #,##0_-;_-* &quot;-&quot;_-;_-@_-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u/>
      <sz val="11"/>
      <color rgb="FFFF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/>
    <xf numFmtId="41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2" borderId="5" xfId="0" applyFill="1" applyBorder="1"/>
    <xf numFmtId="0" fontId="0" fillId="0" borderId="5" xfId="0" applyBorder="1"/>
    <xf numFmtId="0" fontId="3" fillId="3" borderId="5" xfId="0" applyFont="1" applyFill="1" applyBorder="1"/>
    <xf numFmtId="0" fontId="0" fillId="0" borderId="4" xfId="0" applyBorder="1"/>
    <xf numFmtId="14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17" fontId="0" fillId="0" borderId="1" xfId="1" quotePrefix="1" applyNumberFormat="1" applyFont="1" applyBorder="1" applyAlignment="1">
      <alignment wrapText="1"/>
    </xf>
    <xf numFmtId="0" fontId="0" fillId="0" borderId="1" xfId="0" applyBorder="1"/>
    <xf numFmtId="0" fontId="0" fillId="0" borderId="1" xfId="0" quotePrefix="1" applyBorder="1"/>
    <xf numFmtId="17" fontId="0" fillId="0" borderId="1" xfId="1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 quotePrefix="1"/>
    <xf numFmtId="164" fontId="0" fillId="0" borderId="0" xfId="1" applyFont="1"/>
    <xf numFmtId="164" fontId="0" fillId="0" borderId="3" xfId="0" applyNumberFormat="1" applyBorder="1"/>
    <xf numFmtId="164" fontId="0" fillId="0" borderId="1" xfId="1" applyFont="1" applyBorder="1" applyAlignment="1">
      <alignment horizontal="center" vertical="center" wrapText="1"/>
    </xf>
    <xf numFmtId="164" fontId="0" fillId="0" borderId="1" xfId="1" applyFont="1" applyBorder="1" applyAlignment="1">
      <alignment horizontal="center" wrapText="1"/>
    </xf>
    <xf numFmtId="164" fontId="0" fillId="0" borderId="1" xfId="1" applyFont="1" applyBorder="1" applyAlignment="1">
      <alignment wrapText="1"/>
    </xf>
    <xf numFmtId="164" fontId="2" fillId="0" borderId="1" xfId="0" applyNumberFormat="1" applyFont="1" applyBorder="1"/>
    <xf numFmtId="164" fontId="0" fillId="0" borderId="1" xfId="1" applyFont="1" applyBorder="1"/>
    <xf numFmtId="164" fontId="0" fillId="4" borderId="1" xfId="1" applyFont="1" applyFill="1" applyBorder="1"/>
    <xf numFmtId="164" fontId="0" fillId="0" borderId="0" xfId="1" quotePrefix="1" applyFont="1"/>
    <xf numFmtId="164" fontId="0" fillId="0" borderId="7" xfId="1" applyFont="1" applyBorder="1"/>
    <xf numFmtId="164" fontId="0" fillId="0" borderId="8" xfId="1" applyFont="1" applyBorder="1"/>
    <xf numFmtId="164" fontId="0" fillId="0" borderId="2" xfId="1" applyFont="1" applyBorder="1"/>
    <xf numFmtId="164" fontId="0" fillId="0" borderId="0" xfId="0" applyNumberFormat="1"/>
    <xf numFmtId="164" fontId="5" fillId="0" borderId="1" xfId="1" applyFont="1" applyBorder="1"/>
    <xf numFmtId="164" fontId="5" fillId="0" borderId="2" xfId="1" applyFont="1" applyBorder="1"/>
    <xf numFmtId="164" fontId="0" fillId="0" borderId="10" xfId="1" applyFont="1" applyBorder="1"/>
    <xf numFmtId="164" fontId="0" fillId="0" borderId="11" xfId="1" applyFont="1" applyBorder="1"/>
    <xf numFmtId="164" fontId="0" fillId="0" borderId="5" xfId="1" applyFont="1" applyBorder="1"/>
    <xf numFmtId="164" fontId="0" fillId="2" borderId="5" xfId="1" applyFont="1" applyFill="1" applyBorder="1"/>
    <xf numFmtId="164" fontId="3" fillId="3" borderId="5" xfId="0" applyNumberFormat="1" applyFont="1" applyFill="1" applyBorder="1"/>
    <xf numFmtId="164" fontId="2" fillId="0" borderId="4" xfId="0" applyNumberFormat="1" applyFont="1" applyBorder="1"/>
    <xf numFmtId="164" fontId="0" fillId="0" borderId="1" xfId="1" quotePrefix="1" applyFont="1" applyBorder="1" applyAlignment="1">
      <alignment wrapText="1"/>
    </xf>
    <xf numFmtId="164" fontId="6" fillId="0" borderId="1" xfId="0" applyNumberFormat="1" applyFont="1" applyBorder="1"/>
    <xf numFmtId="164" fontId="0" fillId="0" borderId="0" xfId="1" applyFont="1" applyBorder="1"/>
    <xf numFmtId="0" fontId="0" fillId="0" borderId="0" xfId="0"/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/>
    <xf numFmtId="41" fontId="0" fillId="0" borderId="0" xfId="2" applyFont="1"/>
    <xf numFmtId="0" fontId="0" fillId="0" borderId="0" xfId="0" applyAlignment="1">
      <alignment horizontal="center"/>
    </xf>
    <xf numFmtId="41" fontId="0" fillId="0" borderId="0" xfId="2" applyFont="1" applyAlignment="1">
      <alignment horizontal="center"/>
    </xf>
    <xf numFmtId="41" fontId="0" fillId="0" borderId="1" xfId="2" applyFont="1" applyBorder="1"/>
    <xf numFmtId="0" fontId="0" fillId="0" borderId="1" xfId="0" applyFill="1" applyBorder="1"/>
    <xf numFmtId="41" fontId="7" fillId="0" borderId="1" xfId="2" applyFont="1" applyBorder="1"/>
    <xf numFmtId="0" fontId="8" fillId="0" borderId="1" xfId="0" applyFont="1" applyBorder="1"/>
    <xf numFmtId="41" fontId="0" fillId="0" borderId="1" xfId="2" quotePrefix="1" applyFont="1" applyBorder="1"/>
  </cellXfs>
  <cellStyles count="3">
    <cellStyle name="Comma [0]" xfId="1" builtinId="6"/>
    <cellStyle name="Comma [0] 2" xfId="2"/>
    <cellStyle name="Normal" xfId="0" builtinId="0"/>
  </cellStyles>
  <dxfs count="18">
    <dxf>
      <fill>
        <patternFill patternType="gray125">
          <bgColor rgb="FF92D05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gray125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" displayName="Table2" ref="B3:F30" totalsRowShown="0" headerRowBorderDxfId="16" tableBorderDxfId="15" totalsRowBorderDxfId="14">
  <tableColumns count="5">
    <tableColumn id="1" name="Tgl " dataDxfId="13"/>
    <tableColumn id="2" name="Keterangan" dataDxfId="12"/>
    <tableColumn id="3" name="Debet" dataDxfId="11" dataCellStyle="Comma [0]"/>
    <tableColumn id="5" name="Credit" dataDxfId="10" dataCellStyle="Comma [0]"/>
    <tableColumn id="4" name="Saldo" dataDxfId="9" dataCellStyle="Comma [0]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able22" displayName="Table22" ref="B3:F23" totalsRowShown="0" headerRowBorderDxfId="8" tableBorderDxfId="7" totalsRowBorderDxfId="6">
  <tableColumns count="5">
    <tableColumn id="1" name="Tgl " dataDxfId="5"/>
    <tableColumn id="2" name="Keterangan" dataDxfId="4"/>
    <tableColumn id="3" name="Debet" dataDxfId="3" dataCellStyle="Comma [0]"/>
    <tableColumn id="5" name="Credit" dataDxfId="2" dataCellStyle="Comma [0]"/>
    <tableColumn id="4" name="Saldo" dataDxfId="1" dataCellStyle="Comma [0]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61"/>
  <sheetViews>
    <sheetView zoomScaleNormal="100" zoomScaleSheetLayoutView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1" sqref="A1:B1"/>
    </sheetView>
  </sheetViews>
  <sheetFormatPr defaultRowHeight="15" x14ac:dyDescent="0.25"/>
  <cols>
    <col min="2" max="2" width="23.5703125" style="20" bestFit="1" customWidth="1"/>
    <col min="5" max="5" width="13.140625" style="20" bestFit="1" customWidth="1"/>
    <col min="6" max="7" width="13.140625" style="3" customWidth="1"/>
    <col min="8" max="8" width="12.85546875" style="22" customWidth="1"/>
    <col min="9" max="20" width="12.85546875" style="20" customWidth="1"/>
    <col min="25" max="25" width="11.5703125" style="20" bestFit="1" customWidth="1"/>
  </cols>
  <sheetData>
    <row r="1" spans="1:25" ht="29.25" customHeight="1" x14ac:dyDescent="0.25">
      <c r="A1" s="14" t="s">
        <v>2</v>
      </c>
      <c r="B1" s="14" t="s">
        <v>3</v>
      </c>
      <c r="C1" s="14" t="s">
        <v>4</v>
      </c>
      <c r="D1" s="14" t="s">
        <v>5</v>
      </c>
      <c r="E1" s="14" t="s">
        <v>6</v>
      </c>
      <c r="F1" s="19" t="s">
        <v>7</v>
      </c>
      <c r="G1" s="19" t="s">
        <v>8</v>
      </c>
      <c r="H1" s="18" t="s">
        <v>9</v>
      </c>
      <c r="I1" s="24" t="s">
        <v>10</v>
      </c>
      <c r="J1" s="24" t="s">
        <v>11</v>
      </c>
      <c r="K1" s="24" t="s">
        <v>12</v>
      </c>
      <c r="L1" s="24" t="s">
        <v>13</v>
      </c>
      <c r="M1" s="24" t="s">
        <v>14</v>
      </c>
      <c r="N1" s="24" t="s">
        <v>15</v>
      </c>
      <c r="O1" s="25" t="s">
        <v>16</v>
      </c>
      <c r="P1" s="25" t="s">
        <v>17</v>
      </c>
      <c r="Q1" s="25" t="s">
        <v>18</v>
      </c>
      <c r="R1" s="26" t="s">
        <v>19</v>
      </c>
      <c r="S1" s="26" t="s">
        <v>20</v>
      </c>
      <c r="T1" s="26" t="s">
        <v>21</v>
      </c>
    </row>
    <row r="2" spans="1:25" x14ac:dyDescent="0.25">
      <c r="A2" s="16" t="s">
        <v>22</v>
      </c>
      <c r="B2" s="16" t="s">
        <v>23</v>
      </c>
      <c r="C2" s="16" t="s">
        <v>24</v>
      </c>
      <c r="D2" s="16" t="s">
        <v>25</v>
      </c>
      <c r="E2" s="17" t="s">
        <v>26</v>
      </c>
      <c r="F2" s="27">
        <v>300000</v>
      </c>
      <c r="G2" s="27">
        <f t="shared" ref="G2:G33" si="0">F2+SUM(H2:S2)</f>
        <v>300000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>
        <f t="shared" ref="T2:T33" si="1">G2</f>
        <v>300000</v>
      </c>
      <c r="U2" s="22"/>
      <c r="V2" s="22"/>
      <c r="W2" s="22"/>
      <c r="X2" s="22"/>
      <c r="Y2" s="22"/>
    </row>
    <row r="3" spans="1:25" x14ac:dyDescent="0.25">
      <c r="A3" s="16" t="s">
        <v>27</v>
      </c>
      <c r="B3" s="16" t="s">
        <v>28</v>
      </c>
      <c r="C3" s="16" t="s">
        <v>24</v>
      </c>
      <c r="D3" s="16" t="s">
        <v>29</v>
      </c>
      <c r="E3" s="16"/>
      <c r="F3" s="27">
        <v>500000</v>
      </c>
      <c r="G3" s="27">
        <f t="shared" si="0"/>
        <v>500000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>
        <f t="shared" si="1"/>
        <v>500000</v>
      </c>
      <c r="U3" s="22"/>
      <c r="V3" s="22"/>
      <c r="W3" s="22"/>
      <c r="X3" s="22"/>
      <c r="Y3" s="22"/>
    </row>
    <row r="4" spans="1:25" x14ac:dyDescent="0.25">
      <c r="A4" s="16" t="s">
        <v>30</v>
      </c>
      <c r="B4" s="16" t="s">
        <v>31</v>
      </c>
      <c r="C4" s="16" t="s">
        <v>24</v>
      </c>
      <c r="D4" s="16" t="s">
        <v>32</v>
      </c>
      <c r="E4" s="17" t="s">
        <v>33</v>
      </c>
      <c r="F4" s="27">
        <v>275000</v>
      </c>
      <c r="G4" s="27">
        <f t="shared" si="0"/>
        <v>275000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>
        <f t="shared" si="1"/>
        <v>275000</v>
      </c>
      <c r="U4" s="22"/>
      <c r="V4" s="22"/>
      <c r="W4" s="22"/>
      <c r="X4" s="22"/>
      <c r="Y4" s="22"/>
    </row>
    <row r="5" spans="1:25" x14ac:dyDescent="0.25">
      <c r="A5" s="16" t="s">
        <v>34</v>
      </c>
      <c r="B5" s="16" t="s">
        <v>539</v>
      </c>
      <c r="C5" s="16" t="s">
        <v>24</v>
      </c>
      <c r="D5" s="16" t="s">
        <v>36</v>
      </c>
      <c r="E5" s="16"/>
      <c r="F5" s="27">
        <v>100000</v>
      </c>
      <c r="G5" s="27">
        <f t="shared" si="0"/>
        <v>100000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>
        <f t="shared" si="1"/>
        <v>100000</v>
      </c>
      <c r="U5" s="22"/>
      <c r="V5" s="22"/>
      <c r="W5" s="22"/>
      <c r="X5" s="22"/>
      <c r="Y5" s="22"/>
    </row>
    <row r="6" spans="1:25" x14ac:dyDescent="0.25">
      <c r="A6" s="16" t="s">
        <v>37</v>
      </c>
      <c r="B6" s="16" t="s">
        <v>38</v>
      </c>
      <c r="C6" s="16" t="s">
        <v>24</v>
      </c>
      <c r="D6" s="16" t="s">
        <v>39</v>
      </c>
      <c r="E6" s="17" t="s">
        <v>40</v>
      </c>
      <c r="F6" s="27">
        <v>350000</v>
      </c>
      <c r="G6" s="27">
        <f t="shared" si="0"/>
        <v>450000</v>
      </c>
      <c r="H6" s="28">
        <v>50000</v>
      </c>
      <c r="I6" s="28">
        <v>50000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>
        <f t="shared" si="1"/>
        <v>450000</v>
      </c>
      <c r="U6" s="22"/>
      <c r="V6" s="22"/>
      <c r="W6" s="22"/>
      <c r="X6" s="22"/>
      <c r="Y6" s="22"/>
    </row>
    <row r="7" spans="1:25" x14ac:dyDescent="0.25">
      <c r="A7" s="16" t="s">
        <v>41</v>
      </c>
      <c r="B7" s="16" t="s">
        <v>42</v>
      </c>
      <c r="C7" s="16" t="s">
        <v>24</v>
      </c>
      <c r="D7" s="16" t="s">
        <v>43</v>
      </c>
      <c r="E7" s="17" t="s">
        <v>44</v>
      </c>
      <c r="F7" s="27">
        <v>150000</v>
      </c>
      <c r="G7" s="27">
        <f t="shared" si="0"/>
        <v>250000</v>
      </c>
      <c r="H7" s="28">
        <v>50000</v>
      </c>
      <c r="I7" s="28">
        <v>50000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>
        <f t="shared" si="1"/>
        <v>250000</v>
      </c>
      <c r="U7" s="22"/>
      <c r="V7" s="22"/>
      <c r="W7" s="22"/>
      <c r="X7" s="22"/>
      <c r="Y7" s="22"/>
    </row>
    <row r="8" spans="1:25" x14ac:dyDescent="0.25">
      <c r="A8" s="16" t="s">
        <v>45</v>
      </c>
      <c r="B8" s="16" t="s">
        <v>46</v>
      </c>
      <c r="C8" s="16" t="s">
        <v>24</v>
      </c>
      <c r="D8" s="16" t="s">
        <v>47</v>
      </c>
      <c r="E8" s="17" t="s">
        <v>48</v>
      </c>
      <c r="F8" s="27">
        <v>40000</v>
      </c>
      <c r="G8" s="27">
        <f t="shared" si="0"/>
        <v>40000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>
        <f t="shared" si="1"/>
        <v>40000</v>
      </c>
      <c r="U8" s="22"/>
      <c r="V8" s="22"/>
      <c r="W8" s="22"/>
      <c r="X8" s="22"/>
      <c r="Y8" s="22"/>
    </row>
    <row r="9" spans="1:25" x14ac:dyDescent="0.25">
      <c r="A9" s="16" t="s">
        <v>49</v>
      </c>
      <c r="B9" s="16" t="s">
        <v>50</v>
      </c>
      <c r="C9" s="16" t="s">
        <v>24</v>
      </c>
      <c r="D9" s="16" t="s">
        <v>51</v>
      </c>
      <c r="E9" s="17" t="s">
        <v>52</v>
      </c>
      <c r="F9" s="27">
        <v>25000</v>
      </c>
      <c r="G9" s="27">
        <f t="shared" si="0"/>
        <v>25000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>
        <f t="shared" si="1"/>
        <v>25000</v>
      </c>
      <c r="U9" s="22"/>
      <c r="V9" s="22"/>
      <c r="W9" s="22"/>
      <c r="X9" s="22"/>
      <c r="Y9" s="22"/>
    </row>
    <row r="10" spans="1:25" x14ac:dyDescent="0.25">
      <c r="A10" s="16" t="s">
        <v>53</v>
      </c>
      <c r="B10" s="16" t="s">
        <v>54</v>
      </c>
      <c r="C10" s="16" t="s">
        <v>24</v>
      </c>
      <c r="D10" s="16" t="s">
        <v>55</v>
      </c>
      <c r="E10" s="16"/>
      <c r="F10" s="27">
        <v>200000</v>
      </c>
      <c r="G10" s="27">
        <f t="shared" si="0"/>
        <v>350000</v>
      </c>
      <c r="H10" s="28">
        <v>50000</v>
      </c>
      <c r="I10" s="28">
        <v>50000</v>
      </c>
      <c r="J10" s="28"/>
      <c r="K10" s="28"/>
      <c r="L10" s="28">
        <v>50000</v>
      </c>
      <c r="M10" s="28"/>
      <c r="N10" s="28"/>
      <c r="O10" s="28"/>
      <c r="P10" s="28"/>
      <c r="Q10" s="28"/>
      <c r="R10" s="28"/>
      <c r="S10" s="28"/>
      <c r="T10" s="28">
        <f t="shared" si="1"/>
        <v>350000</v>
      </c>
      <c r="U10" s="22"/>
      <c r="V10" s="22"/>
      <c r="W10" s="22"/>
      <c r="X10" s="22"/>
      <c r="Y10" s="22"/>
    </row>
    <row r="11" spans="1:25" x14ac:dyDescent="0.25">
      <c r="A11" s="16" t="s">
        <v>56</v>
      </c>
      <c r="B11" s="16" t="s">
        <v>57</v>
      </c>
      <c r="C11" s="16" t="s">
        <v>24</v>
      </c>
      <c r="D11" s="16" t="s">
        <v>58</v>
      </c>
      <c r="E11" s="16"/>
      <c r="F11" s="27">
        <v>100000</v>
      </c>
      <c r="G11" s="27">
        <f t="shared" si="0"/>
        <v>200000</v>
      </c>
      <c r="H11" s="28">
        <v>50000</v>
      </c>
      <c r="I11" s="28">
        <v>50000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>
        <f t="shared" si="1"/>
        <v>200000</v>
      </c>
      <c r="U11" s="22"/>
      <c r="V11" s="22"/>
      <c r="W11" s="22"/>
      <c r="X11" s="22"/>
      <c r="Y11" s="22"/>
    </row>
    <row r="12" spans="1:25" x14ac:dyDescent="0.25">
      <c r="A12" s="16" t="s">
        <v>59</v>
      </c>
      <c r="B12" s="16" t="s">
        <v>60</v>
      </c>
      <c r="C12" s="16" t="s">
        <v>24</v>
      </c>
      <c r="D12" s="16" t="s">
        <v>61</v>
      </c>
      <c r="E12" s="17" t="s">
        <v>62</v>
      </c>
      <c r="F12" s="27">
        <v>100000</v>
      </c>
      <c r="G12" s="27">
        <f t="shared" si="0"/>
        <v>100000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>
        <f t="shared" si="1"/>
        <v>100000</v>
      </c>
      <c r="U12" s="22"/>
      <c r="V12" s="22"/>
      <c r="W12" s="22"/>
      <c r="X12" s="22"/>
      <c r="Y12" s="22"/>
    </row>
    <row r="13" spans="1:25" x14ac:dyDescent="0.25">
      <c r="A13" s="16" t="s">
        <v>63</v>
      </c>
      <c r="B13" s="16" t="s">
        <v>64</v>
      </c>
      <c r="C13" s="16" t="s">
        <v>24</v>
      </c>
      <c r="D13" s="16" t="s">
        <v>65</v>
      </c>
      <c r="E13" s="17" t="s">
        <v>66</v>
      </c>
      <c r="F13" s="27">
        <v>500000</v>
      </c>
      <c r="G13" s="27">
        <f t="shared" si="0"/>
        <v>650000</v>
      </c>
      <c r="H13" s="28">
        <v>50000</v>
      </c>
      <c r="I13" s="28">
        <v>50000</v>
      </c>
      <c r="J13" s="28"/>
      <c r="K13" s="28"/>
      <c r="L13" s="28">
        <v>50000</v>
      </c>
      <c r="M13" s="28"/>
      <c r="N13" s="28"/>
      <c r="O13" s="28"/>
      <c r="P13" s="28"/>
      <c r="Q13" s="28"/>
      <c r="R13" s="28"/>
      <c r="S13" s="28"/>
      <c r="T13" s="28">
        <f t="shared" si="1"/>
        <v>650000</v>
      </c>
      <c r="U13" s="22"/>
      <c r="V13" s="22"/>
      <c r="W13" s="22"/>
      <c r="X13" s="22"/>
      <c r="Y13" s="22"/>
    </row>
    <row r="14" spans="1:25" x14ac:dyDescent="0.25">
      <c r="A14" s="16" t="s">
        <v>67</v>
      </c>
      <c r="B14" s="16" t="s">
        <v>68</v>
      </c>
      <c r="C14" s="16" t="s">
        <v>24</v>
      </c>
      <c r="D14" s="16" t="s">
        <v>69</v>
      </c>
      <c r="E14" s="17" t="s">
        <v>70</v>
      </c>
      <c r="F14" s="27">
        <v>250000</v>
      </c>
      <c r="G14" s="27">
        <f t="shared" si="0"/>
        <v>250000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>
        <f t="shared" si="1"/>
        <v>250000</v>
      </c>
      <c r="U14" s="22"/>
      <c r="V14" s="22"/>
      <c r="W14" s="22"/>
      <c r="X14" s="22"/>
      <c r="Y14" s="22"/>
    </row>
    <row r="15" spans="1:25" x14ac:dyDescent="0.25">
      <c r="A15" s="16" t="s">
        <v>71</v>
      </c>
      <c r="B15" s="16" t="s">
        <v>72</v>
      </c>
      <c r="C15" s="16" t="s">
        <v>24</v>
      </c>
      <c r="D15" s="16" t="s">
        <v>73</v>
      </c>
      <c r="E15" s="16"/>
      <c r="F15" s="27">
        <v>500000</v>
      </c>
      <c r="G15" s="27">
        <f t="shared" si="0"/>
        <v>500000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>
        <f t="shared" si="1"/>
        <v>500000</v>
      </c>
      <c r="U15" s="22"/>
      <c r="V15" s="22"/>
      <c r="W15" s="22"/>
      <c r="X15" s="22"/>
      <c r="Y15" s="22"/>
    </row>
    <row r="16" spans="1:25" x14ac:dyDescent="0.25">
      <c r="A16" s="16" t="s">
        <v>74</v>
      </c>
      <c r="B16" s="16" t="s">
        <v>75</v>
      </c>
      <c r="C16" s="16" t="s">
        <v>24</v>
      </c>
      <c r="D16" s="16" t="s">
        <v>76</v>
      </c>
      <c r="E16" s="16"/>
      <c r="F16" s="27">
        <v>200000</v>
      </c>
      <c r="G16" s="27">
        <f t="shared" si="0"/>
        <v>200000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>
        <f t="shared" si="1"/>
        <v>200000</v>
      </c>
      <c r="U16" s="22"/>
      <c r="V16" s="22"/>
      <c r="W16" s="22"/>
      <c r="X16" s="22"/>
      <c r="Y16" s="22"/>
    </row>
    <row r="17" spans="1:25" x14ac:dyDescent="0.25">
      <c r="A17" s="16" t="s">
        <v>77</v>
      </c>
      <c r="B17" s="16" t="s">
        <v>78</v>
      </c>
      <c r="C17" s="16" t="s">
        <v>24</v>
      </c>
      <c r="D17" s="16" t="s">
        <v>79</v>
      </c>
      <c r="E17" s="16"/>
      <c r="F17" s="27">
        <v>50000</v>
      </c>
      <c r="G17" s="27">
        <f t="shared" si="0"/>
        <v>50000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>
        <f t="shared" si="1"/>
        <v>50000</v>
      </c>
      <c r="U17" s="22"/>
      <c r="V17" s="22"/>
      <c r="W17" s="22"/>
      <c r="X17" s="22"/>
      <c r="Y17" s="22"/>
    </row>
    <row r="18" spans="1:25" x14ac:dyDescent="0.25">
      <c r="A18" s="16" t="s">
        <v>80</v>
      </c>
      <c r="B18" s="16" t="s">
        <v>81</v>
      </c>
      <c r="C18" s="16" t="s">
        <v>24</v>
      </c>
      <c r="D18" s="16" t="s">
        <v>82</v>
      </c>
      <c r="E18" s="16"/>
      <c r="F18" s="27">
        <v>1500000</v>
      </c>
      <c r="G18" s="27">
        <f t="shared" si="0"/>
        <v>1500000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>
        <f t="shared" si="1"/>
        <v>1500000</v>
      </c>
      <c r="U18" s="22"/>
      <c r="V18" s="22"/>
      <c r="W18" s="22"/>
      <c r="X18" s="22"/>
      <c r="Y18" s="22"/>
    </row>
    <row r="19" spans="1:25" x14ac:dyDescent="0.25">
      <c r="A19" s="16" t="s">
        <v>83</v>
      </c>
      <c r="B19" s="16" t="s">
        <v>84</v>
      </c>
      <c r="C19" s="16" t="s">
        <v>24</v>
      </c>
      <c r="D19" s="16" t="s">
        <v>85</v>
      </c>
      <c r="E19" s="17" t="s">
        <v>86</v>
      </c>
      <c r="F19" s="27">
        <v>300000</v>
      </c>
      <c r="G19" s="27">
        <f t="shared" si="0"/>
        <v>300000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>
        <f t="shared" si="1"/>
        <v>300000</v>
      </c>
      <c r="U19" s="22"/>
      <c r="V19" s="22"/>
      <c r="W19" s="22"/>
      <c r="X19" s="22"/>
      <c r="Y19" s="22"/>
    </row>
    <row r="20" spans="1:25" x14ac:dyDescent="0.25">
      <c r="A20" s="16" t="s">
        <v>87</v>
      </c>
      <c r="B20" s="16" t="s">
        <v>88</v>
      </c>
      <c r="C20" s="16" t="s">
        <v>24</v>
      </c>
      <c r="D20" s="16" t="s">
        <v>89</v>
      </c>
      <c r="E20" s="17" t="s">
        <v>90</v>
      </c>
      <c r="F20" s="27">
        <v>10000</v>
      </c>
      <c r="G20" s="27">
        <f t="shared" si="0"/>
        <v>10000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>
        <f t="shared" si="1"/>
        <v>10000</v>
      </c>
      <c r="U20" s="22"/>
      <c r="V20" s="22"/>
      <c r="W20" s="22"/>
      <c r="X20" s="22"/>
      <c r="Y20" s="22"/>
    </row>
    <row r="21" spans="1:25" x14ac:dyDescent="0.25">
      <c r="A21" s="16" t="s">
        <v>91</v>
      </c>
      <c r="B21" s="16" t="s">
        <v>540</v>
      </c>
      <c r="C21" s="16" t="s">
        <v>24</v>
      </c>
      <c r="D21" s="16" t="s">
        <v>93</v>
      </c>
      <c r="E21" s="17" t="s">
        <v>94</v>
      </c>
      <c r="F21" s="27">
        <v>150000</v>
      </c>
      <c r="G21" s="27">
        <f t="shared" si="0"/>
        <v>150000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>
        <f t="shared" si="1"/>
        <v>150000</v>
      </c>
      <c r="U21" s="22"/>
      <c r="V21" s="22"/>
      <c r="W21" s="22"/>
      <c r="X21" s="22"/>
      <c r="Y21" s="22"/>
    </row>
    <row r="22" spans="1:25" x14ac:dyDescent="0.25">
      <c r="A22" s="16" t="s">
        <v>95</v>
      </c>
      <c r="B22" s="16" t="s">
        <v>96</v>
      </c>
      <c r="C22" s="16" t="s">
        <v>24</v>
      </c>
      <c r="D22" s="16" t="s">
        <v>97</v>
      </c>
      <c r="E22" s="17" t="s">
        <v>98</v>
      </c>
      <c r="F22" s="27">
        <v>200000</v>
      </c>
      <c r="G22" s="27">
        <f t="shared" si="0"/>
        <v>200000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>
        <f t="shared" si="1"/>
        <v>200000</v>
      </c>
      <c r="U22" s="22"/>
      <c r="V22" s="22"/>
      <c r="W22" s="22"/>
      <c r="X22" s="22"/>
      <c r="Y22" s="22"/>
    </row>
    <row r="23" spans="1:25" x14ac:dyDescent="0.25">
      <c r="A23" s="16" t="s">
        <v>99</v>
      </c>
      <c r="B23" s="16" t="s">
        <v>100</v>
      </c>
      <c r="C23" s="16" t="s">
        <v>24</v>
      </c>
      <c r="D23" s="16" t="s">
        <v>101</v>
      </c>
      <c r="E23" s="17" t="s">
        <v>102</v>
      </c>
      <c r="F23" s="27">
        <v>250000</v>
      </c>
      <c r="G23" s="27">
        <f t="shared" si="0"/>
        <v>300000</v>
      </c>
      <c r="H23" s="28">
        <v>50000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>
        <f t="shared" si="1"/>
        <v>300000</v>
      </c>
      <c r="U23" s="22"/>
      <c r="V23" s="22"/>
      <c r="W23" s="22"/>
      <c r="X23" s="22"/>
      <c r="Y23" s="22"/>
    </row>
    <row r="24" spans="1:25" x14ac:dyDescent="0.25">
      <c r="A24" s="16" t="s">
        <v>103</v>
      </c>
      <c r="B24" s="16" t="s">
        <v>104</v>
      </c>
      <c r="C24" s="16" t="s">
        <v>24</v>
      </c>
      <c r="D24" s="16" t="s">
        <v>105</v>
      </c>
      <c r="E24" s="17" t="s">
        <v>106</v>
      </c>
      <c r="F24" s="27">
        <v>200000</v>
      </c>
      <c r="G24" s="27">
        <f t="shared" si="0"/>
        <v>200000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>
        <f t="shared" si="1"/>
        <v>200000</v>
      </c>
      <c r="U24" s="22"/>
      <c r="V24" s="22"/>
      <c r="W24" s="22"/>
      <c r="X24" s="22"/>
      <c r="Y24" s="22"/>
    </row>
    <row r="25" spans="1:25" x14ac:dyDescent="0.25">
      <c r="A25" s="16" t="s">
        <v>107</v>
      </c>
      <c r="B25" s="16" t="s">
        <v>108</v>
      </c>
      <c r="C25" s="16" t="s">
        <v>24</v>
      </c>
      <c r="D25" s="16" t="s">
        <v>109</v>
      </c>
      <c r="E25" s="17" t="s">
        <v>110</v>
      </c>
      <c r="F25" s="27">
        <v>200000</v>
      </c>
      <c r="G25" s="27">
        <f t="shared" si="0"/>
        <v>250000</v>
      </c>
      <c r="H25" s="28">
        <v>50000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>
        <f t="shared" si="1"/>
        <v>250000</v>
      </c>
      <c r="U25" s="22"/>
      <c r="V25" s="22"/>
      <c r="W25" s="22"/>
      <c r="X25" s="22"/>
      <c r="Y25" s="22"/>
    </row>
    <row r="26" spans="1:25" x14ac:dyDescent="0.25">
      <c r="A26" s="16" t="s">
        <v>111</v>
      </c>
      <c r="B26" s="16" t="s">
        <v>112</v>
      </c>
      <c r="C26" s="16" t="s">
        <v>24</v>
      </c>
      <c r="D26" s="16" t="s">
        <v>113</v>
      </c>
      <c r="E26" s="17" t="s">
        <v>114</v>
      </c>
      <c r="F26" s="27">
        <v>150000</v>
      </c>
      <c r="G26" s="27">
        <f t="shared" si="0"/>
        <v>250000</v>
      </c>
      <c r="H26" s="28">
        <v>50000</v>
      </c>
      <c r="I26" s="28"/>
      <c r="J26" s="28">
        <v>50000</v>
      </c>
      <c r="K26" s="28"/>
      <c r="L26" s="28"/>
      <c r="M26" s="28"/>
      <c r="N26" s="28"/>
      <c r="O26" s="28"/>
      <c r="P26" s="28"/>
      <c r="Q26" s="28"/>
      <c r="R26" s="28"/>
      <c r="S26" s="28"/>
      <c r="T26" s="28">
        <f t="shared" si="1"/>
        <v>250000</v>
      </c>
      <c r="U26" s="22"/>
      <c r="V26" s="22"/>
      <c r="W26" s="22"/>
      <c r="X26" s="22"/>
      <c r="Y26" s="22"/>
    </row>
    <row r="27" spans="1:25" x14ac:dyDescent="0.25">
      <c r="A27" s="16" t="s">
        <v>115</v>
      </c>
      <c r="B27" s="17" t="s">
        <v>541</v>
      </c>
      <c r="C27" s="16" t="s">
        <v>24</v>
      </c>
      <c r="D27" s="16"/>
      <c r="E27" s="17" t="s">
        <v>117</v>
      </c>
      <c r="F27" s="27">
        <v>150000</v>
      </c>
      <c r="G27" s="27">
        <f t="shared" si="0"/>
        <v>150000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>
        <f t="shared" si="1"/>
        <v>150000</v>
      </c>
      <c r="U27" s="22"/>
      <c r="V27" s="22"/>
      <c r="W27" s="22"/>
      <c r="X27" s="22"/>
      <c r="Y27" s="22"/>
    </row>
    <row r="28" spans="1:25" x14ac:dyDescent="0.25">
      <c r="A28" s="16" t="s">
        <v>118</v>
      </c>
      <c r="B28" s="16" t="s">
        <v>119</v>
      </c>
      <c r="C28" s="16" t="s">
        <v>120</v>
      </c>
      <c r="D28" s="16" t="s">
        <v>121</v>
      </c>
      <c r="E28" s="16"/>
      <c r="F28" s="27">
        <v>500000</v>
      </c>
      <c r="G28" s="27">
        <f t="shared" si="0"/>
        <v>500000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>
        <f t="shared" si="1"/>
        <v>500000</v>
      </c>
      <c r="U28" s="22"/>
      <c r="V28" s="22"/>
      <c r="W28" s="22"/>
      <c r="X28" s="22"/>
      <c r="Y28" s="22"/>
    </row>
    <row r="29" spans="1:25" x14ac:dyDescent="0.25">
      <c r="A29" s="16" t="s">
        <v>122</v>
      </c>
      <c r="B29" s="16" t="s">
        <v>123</v>
      </c>
      <c r="C29" s="16" t="s">
        <v>120</v>
      </c>
      <c r="D29" s="16" t="s">
        <v>29</v>
      </c>
      <c r="E29" s="16"/>
      <c r="F29" s="27">
        <v>150000</v>
      </c>
      <c r="G29" s="27">
        <f t="shared" si="0"/>
        <v>250000</v>
      </c>
      <c r="H29" s="28">
        <v>50000</v>
      </c>
      <c r="I29" s="28">
        <v>50000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>
        <f t="shared" si="1"/>
        <v>250000</v>
      </c>
      <c r="U29" s="22"/>
      <c r="V29" s="22"/>
      <c r="W29" s="22"/>
      <c r="X29" s="22"/>
      <c r="Y29" s="22"/>
    </row>
    <row r="30" spans="1:25" x14ac:dyDescent="0.25">
      <c r="A30" s="16" t="s">
        <v>124</v>
      </c>
      <c r="B30" s="16" t="s">
        <v>125</v>
      </c>
      <c r="C30" s="16" t="s">
        <v>120</v>
      </c>
      <c r="D30" s="16" t="s">
        <v>32</v>
      </c>
      <c r="E30" s="17" t="s">
        <v>126</v>
      </c>
      <c r="F30" s="27">
        <v>50000</v>
      </c>
      <c r="G30" s="27">
        <f t="shared" si="0"/>
        <v>50000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>
        <f t="shared" si="1"/>
        <v>50000</v>
      </c>
      <c r="U30" s="22"/>
      <c r="V30" s="22"/>
      <c r="W30" s="22"/>
      <c r="X30" s="22"/>
      <c r="Y30" s="22"/>
    </row>
    <row r="31" spans="1:25" x14ac:dyDescent="0.25">
      <c r="A31" s="16" t="s">
        <v>127</v>
      </c>
      <c r="B31" s="16" t="s">
        <v>128</v>
      </c>
      <c r="C31" s="16" t="s">
        <v>120</v>
      </c>
      <c r="D31" s="16" t="s">
        <v>129</v>
      </c>
      <c r="E31" s="16"/>
      <c r="F31" s="27">
        <v>200000</v>
      </c>
      <c r="G31" s="27">
        <f t="shared" si="0"/>
        <v>200000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>
        <f t="shared" si="1"/>
        <v>200000</v>
      </c>
      <c r="U31" s="22"/>
      <c r="V31" s="22"/>
      <c r="W31" s="22"/>
      <c r="X31" s="22"/>
      <c r="Y31" s="22"/>
    </row>
    <row r="32" spans="1:25" x14ac:dyDescent="0.25">
      <c r="A32" s="16" t="s">
        <v>130</v>
      </c>
      <c r="B32" s="16" t="s">
        <v>131</v>
      </c>
      <c r="C32" s="16" t="s">
        <v>120</v>
      </c>
      <c r="D32" s="16" t="s">
        <v>132</v>
      </c>
      <c r="E32" s="16"/>
      <c r="F32" s="27">
        <v>350000</v>
      </c>
      <c r="G32" s="27">
        <f t="shared" si="0"/>
        <v>350000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>
        <f t="shared" si="1"/>
        <v>350000</v>
      </c>
      <c r="U32" s="22"/>
      <c r="V32" s="22"/>
      <c r="W32" s="22"/>
      <c r="X32" s="22"/>
      <c r="Y32" s="22"/>
    </row>
    <row r="33" spans="1:25" x14ac:dyDescent="0.25">
      <c r="A33" s="16" t="s">
        <v>133</v>
      </c>
      <c r="B33" s="16" t="s">
        <v>542</v>
      </c>
      <c r="C33" s="16" t="s">
        <v>120</v>
      </c>
      <c r="D33" s="16" t="s">
        <v>36</v>
      </c>
      <c r="E33" s="16"/>
      <c r="F33" s="27">
        <v>50000</v>
      </c>
      <c r="G33" s="27">
        <f t="shared" si="0"/>
        <v>50000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>
        <f t="shared" si="1"/>
        <v>50000</v>
      </c>
      <c r="U33" s="22"/>
      <c r="V33" s="22"/>
      <c r="W33" s="22"/>
      <c r="X33" s="22"/>
      <c r="Y33" s="22"/>
    </row>
    <row r="34" spans="1:25" x14ac:dyDescent="0.25">
      <c r="A34" s="16" t="s">
        <v>135</v>
      </c>
      <c r="B34" s="16" t="s">
        <v>543</v>
      </c>
      <c r="C34" s="16" t="s">
        <v>120</v>
      </c>
      <c r="D34" s="16" t="s">
        <v>73</v>
      </c>
      <c r="E34" s="17" t="s">
        <v>137</v>
      </c>
      <c r="F34" s="27">
        <v>200000</v>
      </c>
      <c r="G34" s="27">
        <f t="shared" ref="G34:G65" si="2">F34+SUM(H34:S34)</f>
        <v>300000</v>
      </c>
      <c r="H34" s="28">
        <v>50000</v>
      </c>
      <c r="I34" s="28">
        <v>50000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>
        <f t="shared" ref="T34:T65" si="3">G34</f>
        <v>300000</v>
      </c>
      <c r="U34" s="22"/>
      <c r="V34" s="22"/>
      <c r="W34" s="22"/>
      <c r="X34" s="22"/>
      <c r="Y34" s="22"/>
    </row>
    <row r="35" spans="1:25" x14ac:dyDescent="0.25">
      <c r="A35" s="16" t="s">
        <v>138</v>
      </c>
      <c r="B35" s="16" t="s">
        <v>139</v>
      </c>
      <c r="C35" s="16" t="s">
        <v>120</v>
      </c>
      <c r="D35" s="16" t="s">
        <v>76</v>
      </c>
      <c r="E35" s="17" t="s">
        <v>140</v>
      </c>
      <c r="F35" s="27">
        <v>250000</v>
      </c>
      <c r="G35" s="27">
        <f t="shared" si="2"/>
        <v>350000</v>
      </c>
      <c r="H35" s="28">
        <v>50000</v>
      </c>
      <c r="I35" s="28">
        <v>50000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>
        <f t="shared" si="3"/>
        <v>350000</v>
      </c>
      <c r="U35" s="22"/>
      <c r="V35" s="22"/>
      <c r="W35" s="22"/>
      <c r="X35" s="22"/>
      <c r="Y35" s="22"/>
    </row>
    <row r="36" spans="1:25" x14ac:dyDescent="0.25">
      <c r="A36" s="16" t="s">
        <v>141</v>
      </c>
      <c r="B36" s="16" t="s">
        <v>142</v>
      </c>
      <c r="C36" s="16" t="s">
        <v>120</v>
      </c>
      <c r="D36" s="16" t="s">
        <v>79</v>
      </c>
      <c r="E36" s="16"/>
      <c r="F36" s="27">
        <v>1000000</v>
      </c>
      <c r="G36" s="27">
        <f t="shared" si="2"/>
        <v>1000000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>
        <f t="shared" si="3"/>
        <v>1000000</v>
      </c>
      <c r="U36" s="22"/>
      <c r="V36" s="22"/>
      <c r="W36" s="22"/>
      <c r="X36" s="22"/>
      <c r="Y36" s="22"/>
    </row>
    <row r="37" spans="1:25" x14ac:dyDescent="0.25">
      <c r="A37" s="16" t="s">
        <v>143</v>
      </c>
      <c r="B37" s="16" t="s">
        <v>144</v>
      </c>
      <c r="C37" s="16" t="s">
        <v>120</v>
      </c>
      <c r="D37" s="16" t="s">
        <v>85</v>
      </c>
      <c r="E37" s="17" t="s">
        <v>145</v>
      </c>
      <c r="F37" s="27">
        <v>0</v>
      </c>
      <c r="G37" s="27">
        <f t="shared" si="2"/>
        <v>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>
        <f t="shared" si="3"/>
        <v>0</v>
      </c>
      <c r="U37" s="22"/>
      <c r="V37" s="22"/>
      <c r="W37" s="22"/>
      <c r="X37" s="22"/>
      <c r="Y37" s="22"/>
    </row>
    <row r="38" spans="1:25" x14ac:dyDescent="0.25">
      <c r="A38" s="16" t="s">
        <v>146</v>
      </c>
      <c r="B38" s="16" t="s">
        <v>147</v>
      </c>
      <c r="C38" s="16" t="s">
        <v>120</v>
      </c>
      <c r="D38" s="16" t="s">
        <v>89</v>
      </c>
      <c r="E38" s="17" t="s">
        <v>148</v>
      </c>
      <c r="F38" s="27">
        <v>100000</v>
      </c>
      <c r="G38" s="27">
        <f t="shared" si="2"/>
        <v>100000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>
        <f t="shared" si="3"/>
        <v>100000</v>
      </c>
      <c r="U38" s="22"/>
      <c r="V38" s="22"/>
      <c r="W38" s="22"/>
      <c r="X38" s="22"/>
      <c r="Y38" s="22"/>
    </row>
    <row r="39" spans="1:25" x14ac:dyDescent="0.25">
      <c r="A39" s="16" t="s">
        <v>149</v>
      </c>
      <c r="B39" s="16" t="s">
        <v>150</v>
      </c>
      <c r="C39" s="16" t="s">
        <v>120</v>
      </c>
      <c r="D39" s="16" t="s">
        <v>151</v>
      </c>
      <c r="E39" s="17" t="s">
        <v>152</v>
      </c>
      <c r="F39" s="27">
        <v>400000</v>
      </c>
      <c r="G39" s="27">
        <f t="shared" si="2"/>
        <v>400000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>
        <f t="shared" si="3"/>
        <v>400000</v>
      </c>
      <c r="U39" s="22"/>
      <c r="V39" s="22"/>
      <c r="W39" s="22"/>
      <c r="X39" s="22"/>
      <c r="Y39" s="22"/>
    </row>
    <row r="40" spans="1:25" x14ac:dyDescent="0.25">
      <c r="A40" s="16" t="s">
        <v>153</v>
      </c>
      <c r="B40" s="16" t="s">
        <v>154</v>
      </c>
      <c r="C40" s="16" t="s">
        <v>120</v>
      </c>
      <c r="D40" s="16" t="s">
        <v>93</v>
      </c>
      <c r="E40" s="17" t="s">
        <v>155</v>
      </c>
      <c r="F40" s="27">
        <v>100000</v>
      </c>
      <c r="G40" s="27">
        <f t="shared" si="2"/>
        <v>100000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>
        <f t="shared" si="3"/>
        <v>100000</v>
      </c>
      <c r="U40" s="22"/>
      <c r="V40" s="22"/>
      <c r="W40" s="22"/>
      <c r="X40" s="22"/>
      <c r="Y40" s="22"/>
    </row>
    <row r="41" spans="1:25" x14ac:dyDescent="0.25">
      <c r="A41" s="16" t="s">
        <v>156</v>
      </c>
      <c r="B41" s="16" t="s">
        <v>544</v>
      </c>
      <c r="C41" s="16" t="s">
        <v>120</v>
      </c>
      <c r="D41" s="16" t="s">
        <v>97</v>
      </c>
      <c r="E41" s="16"/>
      <c r="F41" s="27">
        <v>100000</v>
      </c>
      <c r="G41" s="27">
        <f t="shared" si="2"/>
        <v>100000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>
        <f t="shared" si="3"/>
        <v>100000</v>
      </c>
      <c r="U41" s="22"/>
      <c r="V41" s="22"/>
      <c r="W41" s="22"/>
      <c r="X41" s="22"/>
      <c r="Y41" s="22"/>
    </row>
    <row r="42" spans="1:25" x14ac:dyDescent="0.25">
      <c r="A42" s="16" t="s">
        <v>158</v>
      </c>
      <c r="B42" s="16" t="s">
        <v>159</v>
      </c>
      <c r="C42" s="16" t="s">
        <v>120</v>
      </c>
      <c r="D42" s="16" t="s">
        <v>109</v>
      </c>
      <c r="E42" s="16"/>
      <c r="F42" s="27">
        <v>300000</v>
      </c>
      <c r="G42" s="27">
        <f t="shared" si="2"/>
        <v>350000</v>
      </c>
      <c r="H42" s="28">
        <v>50000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>
        <f t="shared" si="3"/>
        <v>350000</v>
      </c>
      <c r="U42" s="22"/>
      <c r="V42" s="22"/>
      <c r="W42" s="22"/>
      <c r="X42" s="22"/>
      <c r="Y42" s="22"/>
    </row>
    <row r="43" spans="1:25" x14ac:dyDescent="0.25">
      <c r="A43" s="16" t="s">
        <v>160</v>
      </c>
      <c r="B43" s="16" t="s">
        <v>161</v>
      </c>
      <c r="C43" s="16" t="s">
        <v>120</v>
      </c>
      <c r="D43" s="16" t="s">
        <v>162</v>
      </c>
      <c r="E43" s="17"/>
      <c r="F43" s="27">
        <v>50000</v>
      </c>
      <c r="G43" s="27">
        <f t="shared" si="2"/>
        <v>50000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>
        <f t="shared" si="3"/>
        <v>50000</v>
      </c>
      <c r="U43" s="22"/>
      <c r="V43" s="22"/>
      <c r="W43" s="22"/>
      <c r="X43" s="22"/>
      <c r="Y43" s="22"/>
    </row>
    <row r="44" spans="1:25" x14ac:dyDescent="0.25">
      <c r="A44" s="16" t="s">
        <v>163</v>
      </c>
      <c r="B44" s="16" t="s">
        <v>164</v>
      </c>
      <c r="C44" s="16" t="s">
        <v>120</v>
      </c>
      <c r="D44" s="16" t="s">
        <v>165</v>
      </c>
      <c r="E44" s="16"/>
      <c r="F44" s="27">
        <v>100000</v>
      </c>
      <c r="G44" s="27">
        <f t="shared" si="2"/>
        <v>100000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>
        <f t="shared" si="3"/>
        <v>100000</v>
      </c>
      <c r="U44" s="22"/>
      <c r="V44" s="22"/>
      <c r="W44" s="22"/>
      <c r="X44" s="22"/>
      <c r="Y44" s="22"/>
    </row>
    <row r="45" spans="1:25" x14ac:dyDescent="0.25">
      <c r="A45" s="16" t="s">
        <v>166</v>
      </c>
      <c r="B45" s="16" t="s">
        <v>100</v>
      </c>
      <c r="C45" s="16" t="s">
        <v>120</v>
      </c>
      <c r="D45" s="16" t="s">
        <v>168</v>
      </c>
      <c r="E45" s="16"/>
      <c r="F45" s="27">
        <v>50000</v>
      </c>
      <c r="G45" s="27">
        <f t="shared" si="2"/>
        <v>50000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>
        <f t="shared" si="3"/>
        <v>50000</v>
      </c>
      <c r="U45" s="22"/>
      <c r="V45" s="22"/>
      <c r="W45" s="22"/>
      <c r="X45" s="22"/>
      <c r="Y45" s="22"/>
    </row>
    <row r="46" spans="1:25" x14ac:dyDescent="0.25">
      <c r="A46" s="16" t="s">
        <v>169</v>
      </c>
      <c r="B46" s="16" t="s">
        <v>539</v>
      </c>
      <c r="C46" s="16" t="s">
        <v>120</v>
      </c>
      <c r="D46" s="16" t="s">
        <v>170</v>
      </c>
      <c r="E46" s="16"/>
      <c r="F46" s="27">
        <v>150000</v>
      </c>
      <c r="G46" s="27">
        <f t="shared" si="2"/>
        <v>200000</v>
      </c>
      <c r="H46" s="45">
        <v>50000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>
        <f t="shared" si="3"/>
        <v>200000</v>
      </c>
      <c r="U46" s="22"/>
      <c r="V46" s="22"/>
      <c r="W46" s="22"/>
      <c r="X46" s="22"/>
      <c r="Y46" s="22"/>
    </row>
    <row r="47" spans="1:25" x14ac:dyDescent="0.25">
      <c r="A47" s="16" t="s">
        <v>171</v>
      </c>
      <c r="B47" s="16" t="s">
        <v>172</v>
      </c>
      <c r="C47" s="16" t="s">
        <v>120</v>
      </c>
      <c r="D47" s="16" t="s">
        <v>173</v>
      </c>
      <c r="E47" s="17" t="s">
        <v>174</v>
      </c>
      <c r="F47" s="27">
        <v>20000</v>
      </c>
      <c r="G47" s="27">
        <f t="shared" si="2"/>
        <v>20000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>
        <f t="shared" si="3"/>
        <v>20000</v>
      </c>
      <c r="U47" s="22"/>
      <c r="V47" s="22"/>
      <c r="W47" s="22"/>
      <c r="X47" s="22"/>
      <c r="Y47" s="22"/>
    </row>
    <row r="48" spans="1:25" x14ac:dyDescent="0.25">
      <c r="A48" s="16" t="s">
        <v>175</v>
      </c>
      <c r="B48" s="16" t="s">
        <v>176</v>
      </c>
      <c r="C48" s="16" t="s">
        <v>120</v>
      </c>
      <c r="D48" s="16" t="s">
        <v>177</v>
      </c>
      <c r="E48" s="17" t="s">
        <v>178</v>
      </c>
      <c r="F48" s="27">
        <v>0</v>
      </c>
      <c r="G48" s="27">
        <f t="shared" si="2"/>
        <v>0</v>
      </c>
      <c r="H48" s="28"/>
      <c r="I48" s="28"/>
      <c r="J48" s="28"/>
      <c r="K48" s="28"/>
      <c r="L48" s="28"/>
      <c r="M48" s="29"/>
      <c r="N48" s="28"/>
      <c r="O48" s="28"/>
      <c r="P48" s="28"/>
      <c r="Q48" s="28"/>
      <c r="R48" s="28"/>
      <c r="S48" s="28"/>
      <c r="T48" s="28">
        <f t="shared" si="3"/>
        <v>0</v>
      </c>
      <c r="U48" s="22"/>
      <c r="V48" s="22"/>
      <c r="W48" s="22"/>
      <c r="X48" s="22"/>
      <c r="Y48" s="22"/>
    </row>
    <row r="49" spans="1:25" x14ac:dyDescent="0.25">
      <c r="A49" s="16" t="s">
        <v>179</v>
      </c>
      <c r="B49" s="16" t="s">
        <v>180</v>
      </c>
      <c r="C49" s="16" t="s">
        <v>120</v>
      </c>
      <c r="D49" s="16" t="s">
        <v>181</v>
      </c>
      <c r="E49" s="16"/>
      <c r="F49" s="27">
        <v>50000</v>
      </c>
      <c r="G49" s="27">
        <f t="shared" si="2"/>
        <v>50000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>
        <f t="shared" si="3"/>
        <v>50000</v>
      </c>
      <c r="U49" s="22"/>
      <c r="V49" s="22"/>
      <c r="W49" s="22"/>
      <c r="X49" s="22"/>
      <c r="Y49" s="22"/>
    </row>
    <row r="50" spans="1:25" x14ac:dyDescent="0.25">
      <c r="A50" s="16" t="s">
        <v>182</v>
      </c>
      <c r="B50" s="16" t="s">
        <v>183</v>
      </c>
      <c r="C50" s="16" t="s">
        <v>120</v>
      </c>
      <c r="D50" s="16" t="s">
        <v>184</v>
      </c>
      <c r="E50" s="16"/>
      <c r="F50" s="27">
        <v>200000</v>
      </c>
      <c r="G50" s="27">
        <f t="shared" si="2"/>
        <v>300000</v>
      </c>
      <c r="H50" s="28">
        <v>50000</v>
      </c>
      <c r="I50" s="28">
        <v>50000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>
        <f t="shared" si="3"/>
        <v>300000</v>
      </c>
      <c r="U50" s="22"/>
      <c r="V50" s="22"/>
      <c r="W50" s="22"/>
      <c r="X50" s="22"/>
      <c r="Y50" s="22"/>
    </row>
    <row r="51" spans="1:25" x14ac:dyDescent="0.25">
      <c r="A51" s="16" t="s">
        <v>185</v>
      </c>
      <c r="B51" s="16" t="s">
        <v>545</v>
      </c>
      <c r="C51" s="16" t="s">
        <v>120</v>
      </c>
      <c r="D51" s="16" t="s">
        <v>187</v>
      </c>
      <c r="E51" s="16"/>
      <c r="F51" s="27">
        <v>50000</v>
      </c>
      <c r="G51" s="27">
        <f t="shared" si="2"/>
        <v>50000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>
        <f t="shared" si="3"/>
        <v>50000</v>
      </c>
      <c r="U51" s="22"/>
      <c r="V51" s="22"/>
      <c r="W51" s="22"/>
      <c r="X51" s="22"/>
      <c r="Y51" s="22"/>
    </row>
    <row r="52" spans="1:25" x14ac:dyDescent="0.25">
      <c r="A52" s="16" t="s">
        <v>188</v>
      </c>
      <c r="B52" s="16" t="s">
        <v>189</v>
      </c>
      <c r="C52" s="16" t="s">
        <v>120</v>
      </c>
      <c r="D52" s="16" t="s">
        <v>190</v>
      </c>
      <c r="E52" s="17" t="s">
        <v>191</v>
      </c>
      <c r="F52" s="27">
        <v>100000</v>
      </c>
      <c r="G52" s="27">
        <f t="shared" si="2"/>
        <v>100000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>
        <f t="shared" si="3"/>
        <v>100000</v>
      </c>
      <c r="U52" s="22"/>
      <c r="V52" s="22"/>
      <c r="W52" s="22"/>
      <c r="X52" s="22" t="s">
        <v>192</v>
      </c>
      <c r="Y52" s="22">
        <f>Y51-Y50</f>
        <v>0</v>
      </c>
    </row>
    <row r="53" spans="1:25" x14ac:dyDescent="0.25">
      <c r="A53" s="16" t="s">
        <v>193</v>
      </c>
      <c r="B53" s="16" t="s">
        <v>194</v>
      </c>
      <c r="C53" s="16" t="s">
        <v>195</v>
      </c>
      <c r="D53" s="16" t="s">
        <v>32</v>
      </c>
      <c r="E53" s="17" t="s">
        <v>196</v>
      </c>
      <c r="F53" s="27">
        <v>150000</v>
      </c>
      <c r="G53" s="27">
        <f t="shared" si="2"/>
        <v>150000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>
        <f t="shared" si="3"/>
        <v>150000</v>
      </c>
      <c r="U53" s="22"/>
      <c r="V53" s="22"/>
      <c r="W53" s="22"/>
      <c r="X53" s="22"/>
      <c r="Y53" s="22"/>
    </row>
    <row r="54" spans="1:25" x14ac:dyDescent="0.25">
      <c r="A54" s="16" t="s">
        <v>197</v>
      </c>
      <c r="B54" s="16" t="s">
        <v>198</v>
      </c>
      <c r="C54" s="16" t="s">
        <v>195</v>
      </c>
      <c r="D54" s="16" t="s">
        <v>199</v>
      </c>
      <c r="E54" s="17" t="s">
        <v>200</v>
      </c>
      <c r="F54" s="27">
        <v>290000</v>
      </c>
      <c r="G54" s="27">
        <f t="shared" si="2"/>
        <v>290000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>
        <f t="shared" si="3"/>
        <v>290000</v>
      </c>
      <c r="U54" s="22"/>
      <c r="V54" s="22"/>
      <c r="W54" s="22"/>
      <c r="X54" s="22"/>
      <c r="Y54" s="22"/>
    </row>
    <row r="55" spans="1:25" x14ac:dyDescent="0.25">
      <c r="A55" s="16" t="s">
        <v>201</v>
      </c>
      <c r="B55" s="16" t="s">
        <v>202</v>
      </c>
      <c r="C55" s="16" t="s">
        <v>195</v>
      </c>
      <c r="D55" s="16" t="s">
        <v>203</v>
      </c>
      <c r="E55" s="17" t="s">
        <v>204</v>
      </c>
      <c r="F55" s="27">
        <v>0</v>
      </c>
      <c r="G55" s="27">
        <f t="shared" si="2"/>
        <v>0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>
        <f t="shared" si="3"/>
        <v>0</v>
      </c>
      <c r="U55" s="22"/>
      <c r="V55" s="22"/>
      <c r="W55" s="22"/>
      <c r="X55" s="22"/>
      <c r="Y55" s="22"/>
    </row>
    <row r="56" spans="1:25" x14ac:dyDescent="0.25">
      <c r="A56" s="16" t="s">
        <v>205</v>
      </c>
      <c r="B56" s="16" t="s">
        <v>206</v>
      </c>
      <c r="C56" s="16" t="s">
        <v>195</v>
      </c>
      <c r="D56" s="16" t="s">
        <v>203</v>
      </c>
      <c r="E56" s="17" t="s">
        <v>207</v>
      </c>
      <c r="F56" s="27">
        <v>200000</v>
      </c>
      <c r="G56" s="27">
        <f t="shared" si="2"/>
        <v>200000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>
        <f t="shared" si="3"/>
        <v>200000</v>
      </c>
      <c r="U56" s="22"/>
      <c r="V56" s="22"/>
      <c r="W56" s="22"/>
      <c r="X56" s="30" t="s">
        <v>208</v>
      </c>
      <c r="Y56" s="22">
        <f>F48</f>
        <v>0</v>
      </c>
    </row>
    <row r="57" spans="1:25" x14ac:dyDescent="0.25">
      <c r="A57" s="16" t="s">
        <v>209</v>
      </c>
      <c r="B57" s="17" t="s">
        <v>210</v>
      </c>
      <c r="C57" s="16" t="s">
        <v>195</v>
      </c>
      <c r="D57" s="16" t="s">
        <v>211</v>
      </c>
      <c r="E57" s="17" t="s">
        <v>212</v>
      </c>
      <c r="F57" s="27">
        <v>300000</v>
      </c>
      <c r="G57" s="27">
        <f t="shared" si="2"/>
        <v>300000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>
        <f t="shared" si="3"/>
        <v>300000</v>
      </c>
      <c r="U57" s="22"/>
      <c r="V57" s="22"/>
      <c r="W57" s="22"/>
      <c r="X57" s="22"/>
      <c r="Y57" s="22"/>
    </row>
    <row r="58" spans="1:25" x14ac:dyDescent="0.25">
      <c r="A58" s="16" t="s">
        <v>213</v>
      </c>
      <c r="B58" s="16" t="s">
        <v>214</v>
      </c>
      <c r="C58" s="16" t="s">
        <v>195</v>
      </c>
      <c r="D58" s="16" t="s">
        <v>55</v>
      </c>
      <c r="E58" s="17" t="s">
        <v>215</v>
      </c>
      <c r="F58" s="27">
        <v>0</v>
      </c>
      <c r="G58" s="27">
        <f t="shared" si="2"/>
        <v>0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>
        <f t="shared" si="3"/>
        <v>0</v>
      </c>
      <c r="U58" s="22"/>
      <c r="V58" s="22"/>
      <c r="W58" s="22"/>
      <c r="X58" s="22"/>
      <c r="Y58" s="22"/>
    </row>
    <row r="59" spans="1:25" x14ac:dyDescent="0.25">
      <c r="A59" s="16" t="s">
        <v>216</v>
      </c>
      <c r="B59" s="16" t="s">
        <v>46</v>
      </c>
      <c r="C59" s="16" t="s">
        <v>195</v>
      </c>
      <c r="D59" s="16" t="s">
        <v>73</v>
      </c>
      <c r="E59" s="17" t="s">
        <v>217</v>
      </c>
      <c r="F59" s="27">
        <v>400000</v>
      </c>
      <c r="G59" s="27">
        <f t="shared" si="2"/>
        <v>400000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>
        <f t="shared" si="3"/>
        <v>400000</v>
      </c>
      <c r="U59" s="22"/>
      <c r="V59" s="22"/>
      <c r="W59" s="22"/>
      <c r="X59" s="22" t="s">
        <v>218</v>
      </c>
      <c r="Y59" s="22">
        <v>22779000</v>
      </c>
    </row>
    <row r="60" spans="1:25" x14ac:dyDescent="0.25">
      <c r="A60" s="16" t="s">
        <v>219</v>
      </c>
      <c r="B60" s="16" t="s">
        <v>220</v>
      </c>
      <c r="C60" s="16" t="s">
        <v>195</v>
      </c>
      <c r="D60" s="16" t="s">
        <v>79</v>
      </c>
      <c r="E60" s="16"/>
      <c r="F60" s="27">
        <v>450000</v>
      </c>
      <c r="G60" s="27">
        <f t="shared" si="2"/>
        <v>450000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>
        <f t="shared" si="3"/>
        <v>450000</v>
      </c>
      <c r="U60" s="22"/>
      <c r="V60" s="22"/>
      <c r="W60" s="22"/>
      <c r="X60" s="22"/>
      <c r="Y60" s="22"/>
    </row>
    <row r="61" spans="1:25" x14ac:dyDescent="0.25">
      <c r="A61" s="16" t="s">
        <v>221</v>
      </c>
      <c r="B61" s="16" t="s">
        <v>222</v>
      </c>
      <c r="C61" s="16" t="s">
        <v>195</v>
      </c>
      <c r="D61" s="16" t="s">
        <v>82</v>
      </c>
      <c r="E61" s="17" t="s">
        <v>223</v>
      </c>
      <c r="F61" s="27">
        <v>300000</v>
      </c>
      <c r="G61" s="27">
        <f t="shared" si="2"/>
        <v>300000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>
        <f t="shared" si="3"/>
        <v>300000</v>
      </c>
      <c r="U61" s="22"/>
      <c r="V61" s="22"/>
      <c r="W61" s="22"/>
      <c r="X61" s="22"/>
      <c r="Y61" s="22"/>
    </row>
    <row r="62" spans="1:25" x14ac:dyDescent="0.25">
      <c r="A62" s="16" t="s">
        <v>224</v>
      </c>
      <c r="B62" s="16" t="s">
        <v>225</v>
      </c>
      <c r="C62" s="16" t="s">
        <v>195</v>
      </c>
      <c r="D62" s="16" t="s">
        <v>85</v>
      </c>
      <c r="E62" s="17" t="s">
        <v>226</v>
      </c>
      <c r="F62" s="27">
        <v>200000</v>
      </c>
      <c r="G62" s="27">
        <f t="shared" si="2"/>
        <v>200000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>
        <f t="shared" si="3"/>
        <v>200000</v>
      </c>
      <c r="U62" s="22"/>
      <c r="V62" s="22"/>
      <c r="W62" s="22"/>
      <c r="X62" s="22"/>
      <c r="Y62" s="22"/>
    </row>
    <row r="63" spans="1:25" x14ac:dyDescent="0.25">
      <c r="A63" s="16" t="s">
        <v>227</v>
      </c>
      <c r="B63" s="16" t="s">
        <v>228</v>
      </c>
      <c r="C63" s="16" t="s">
        <v>195</v>
      </c>
      <c r="D63" s="16" t="s">
        <v>93</v>
      </c>
      <c r="E63" s="17" t="s">
        <v>229</v>
      </c>
      <c r="F63" s="27">
        <v>200000</v>
      </c>
      <c r="G63" s="27">
        <f t="shared" si="2"/>
        <v>200000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>
        <f t="shared" si="3"/>
        <v>200000</v>
      </c>
      <c r="U63" s="22"/>
      <c r="V63" s="22"/>
      <c r="W63" s="22"/>
      <c r="X63" s="22"/>
      <c r="Y63" s="22"/>
    </row>
    <row r="64" spans="1:25" x14ac:dyDescent="0.25">
      <c r="A64" s="16" t="s">
        <v>230</v>
      </c>
      <c r="B64" s="16" t="s">
        <v>231</v>
      </c>
      <c r="C64" s="16" t="s">
        <v>195</v>
      </c>
      <c r="D64" s="16" t="s">
        <v>105</v>
      </c>
      <c r="E64" s="17" t="s">
        <v>232</v>
      </c>
      <c r="F64" s="27">
        <v>50000</v>
      </c>
      <c r="G64" s="27">
        <f t="shared" si="2"/>
        <v>50000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>
        <f t="shared" si="3"/>
        <v>50000</v>
      </c>
      <c r="U64" s="22"/>
      <c r="V64" s="22"/>
      <c r="W64" s="22"/>
      <c r="X64" s="22"/>
      <c r="Y64" s="22"/>
    </row>
    <row r="65" spans="1:25" x14ac:dyDescent="0.25">
      <c r="A65" s="16" t="s">
        <v>233</v>
      </c>
      <c r="B65" s="16" t="s">
        <v>234</v>
      </c>
      <c r="C65" s="16" t="s">
        <v>195</v>
      </c>
      <c r="D65" s="16" t="s">
        <v>109</v>
      </c>
      <c r="E65" s="17" t="s">
        <v>235</v>
      </c>
      <c r="F65" s="27">
        <v>50000</v>
      </c>
      <c r="G65" s="27">
        <f t="shared" si="2"/>
        <v>50000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>
        <f t="shared" si="3"/>
        <v>50000</v>
      </c>
      <c r="U65" s="22"/>
      <c r="V65" s="22"/>
      <c r="W65" s="22"/>
      <c r="X65" s="22"/>
      <c r="Y65" s="22"/>
    </row>
    <row r="66" spans="1:25" x14ac:dyDescent="0.25">
      <c r="A66" s="16" t="s">
        <v>236</v>
      </c>
      <c r="B66" s="16" t="s">
        <v>237</v>
      </c>
      <c r="C66" s="16" t="s">
        <v>195</v>
      </c>
      <c r="D66" s="16" t="s">
        <v>162</v>
      </c>
      <c r="E66" s="16"/>
      <c r="F66" s="27">
        <v>0</v>
      </c>
      <c r="G66" s="27">
        <f t="shared" ref="G66:G97" si="4">F66+SUM(H66:S66)</f>
        <v>0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>
        <f t="shared" ref="T66:T97" si="5">G66</f>
        <v>0</v>
      </c>
      <c r="U66" s="22"/>
      <c r="V66" s="22"/>
      <c r="W66" s="22"/>
      <c r="X66" s="22"/>
      <c r="Y66" s="22"/>
    </row>
    <row r="67" spans="1:25" x14ac:dyDescent="0.25">
      <c r="A67" s="16" t="s">
        <v>238</v>
      </c>
      <c r="B67" s="16" t="s">
        <v>239</v>
      </c>
      <c r="C67" s="16" t="s">
        <v>195</v>
      </c>
      <c r="D67" s="16" t="s">
        <v>240</v>
      </c>
      <c r="E67" s="16"/>
      <c r="F67" s="27">
        <v>150000</v>
      </c>
      <c r="G67" s="27">
        <f t="shared" si="4"/>
        <v>150000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>
        <f t="shared" si="5"/>
        <v>150000</v>
      </c>
      <c r="U67" s="22"/>
      <c r="V67" s="22"/>
      <c r="W67" s="22"/>
      <c r="X67" s="22"/>
      <c r="Y67" s="22"/>
    </row>
    <row r="68" spans="1:25" x14ac:dyDescent="0.25">
      <c r="A68" s="16" t="s">
        <v>241</v>
      </c>
      <c r="B68" s="16" t="s">
        <v>242</v>
      </c>
      <c r="C68" s="16" t="s">
        <v>195</v>
      </c>
      <c r="D68" s="16" t="s">
        <v>243</v>
      </c>
      <c r="E68" s="17" t="s">
        <v>244</v>
      </c>
      <c r="F68" s="27">
        <v>150000</v>
      </c>
      <c r="G68" s="27">
        <f t="shared" si="4"/>
        <v>150000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>
        <f t="shared" si="5"/>
        <v>150000</v>
      </c>
      <c r="U68" s="22"/>
      <c r="V68" s="22"/>
      <c r="W68" s="22"/>
      <c r="X68" s="22"/>
      <c r="Y68" s="22"/>
    </row>
    <row r="69" spans="1:25" x14ac:dyDescent="0.25">
      <c r="A69" s="16" t="s">
        <v>245</v>
      </c>
      <c r="B69" s="16" t="s">
        <v>194</v>
      </c>
      <c r="C69" s="16" t="s">
        <v>195</v>
      </c>
      <c r="D69" s="16" t="s">
        <v>246</v>
      </c>
      <c r="E69" s="17" t="s">
        <v>247</v>
      </c>
      <c r="F69" s="27">
        <v>350000</v>
      </c>
      <c r="G69" s="27">
        <f t="shared" si="4"/>
        <v>350000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>
        <f t="shared" si="5"/>
        <v>350000</v>
      </c>
      <c r="U69" s="22"/>
      <c r="V69" s="22"/>
      <c r="W69" s="22"/>
      <c r="X69" s="22"/>
      <c r="Y69" s="22"/>
    </row>
    <row r="70" spans="1:25" x14ac:dyDescent="0.25">
      <c r="A70" s="16" t="s">
        <v>248</v>
      </c>
      <c r="B70" s="16" t="s">
        <v>249</v>
      </c>
      <c r="C70" s="16" t="s">
        <v>195</v>
      </c>
      <c r="D70" s="16" t="s">
        <v>246</v>
      </c>
      <c r="E70" s="17" t="s">
        <v>250</v>
      </c>
      <c r="F70" s="27">
        <v>300000</v>
      </c>
      <c r="G70" s="27">
        <f t="shared" si="4"/>
        <v>300000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>
        <f t="shared" si="5"/>
        <v>300000</v>
      </c>
      <c r="U70" s="22"/>
      <c r="V70" s="22"/>
      <c r="W70" s="22"/>
      <c r="X70" s="22"/>
      <c r="Y70" s="22"/>
    </row>
    <row r="71" spans="1:25" x14ac:dyDescent="0.25">
      <c r="A71" s="16" t="s">
        <v>251</v>
      </c>
      <c r="B71" s="16" t="s">
        <v>546</v>
      </c>
      <c r="C71" s="16" t="s">
        <v>195</v>
      </c>
      <c r="D71" s="16" t="s">
        <v>253</v>
      </c>
      <c r="E71" s="17" t="s">
        <v>254</v>
      </c>
      <c r="F71" s="27">
        <v>50000</v>
      </c>
      <c r="G71" s="27">
        <f t="shared" si="4"/>
        <v>50000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>
        <f t="shared" si="5"/>
        <v>50000</v>
      </c>
      <c r="U71" s="22"/>
      <c r="V71" s="22"/>
      <c r="W71" s="22"/>
      <c r="X71" s="22"/>
      <c r="Y71" s="22"/>
    </row>
    <row r="72" spans="1:25" x14ac:dyDescent="0.25">
      <c r="A72" s="16" t="s">
        <v>255</v>
      </c>
      <c r="B72" s="16" t="s">
        <v>172</v>
      </c>
      <c r="C72" s="16" t="s">
        <v>195</v>
      </c>
      <c r="D72" s="16" t="s">
        <v>170</v>
      </c>
      <c r="E72" s="17" t="s">
        <v>257</v>
      </c>
      <c r="F72" s="27">
        <v>200000</v>
      </c>
      <c r="G72" s="27">
        <f t="shared" si="4"/>
        <v>200000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>
        <f t="shared" si="5"/>
        <v>200000</v>
      </c>
      <c r="U72" s="22"/>
      <c r="V72" s="22"/>
      <c r="W72" s="22"/>
      <c r="X72" s="22"/>
      <c r="Y72" s="22"/>
    </row>
    <row r="73" spans="1:25" x14ac:dyDescent="0.25">
      <c r="A73" s="16" t="s">
        <v>258</v>
      </c>
      <c r="B73" s="16" t="s">
        <v>547</v>
      </c>
      <c r="C73" s="16" t="s">
        <v>195</v>
      </c>
      <c r="D73" s="16" t="s">
        <v>480</v>
      </c>
      <c r="E73" s="16"/>
      <c r="F73" s="27">
        <v>250000</v>
      </c>
      <c r="G73" s="27">
        <f t="shared" si="4"/>
        <v>250000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>
        <f t="shared" si="5"/>
        <v>250000</v>
      </c>
      <c r="U73" s="22"/>
      <c r="V73" s="22"/>
      <c r="W73" s="22"/>
      <c r="X73" s="22"/>
      <c r="Y73" s="22"/>
    </row>
    <row r="74" spans="1:25" x14ac:dyDescent="0.25">
      <c r="A74" s="16" t="s">
        <v>260</v>
      </c>
      <c r="B74" s="16" t="s">
        <v>261</v>
      </c>
      <c r="C74" s="16" t="s">
        <v>195</v>
      </c>
      <c r="D74" s="16" t="s">
        <v>262</v>
      </c>
      <c r="E74" s="17" t="s">
        <v>263</v>
      </c>
      <c r="F74" s="27">
        <v>150000</v>
      </c>
      <c r="G74" s="27">
        <f t="shared" si="4"/>
        <v>150000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>
        <f t="shared" si="5"/>
        <v>150000</v>
      </c>
      <c r="U74" s="22"/>
      <c r="V74" s="22"/>
      <c r="W74" s="22"/>
      <c r="X74" s="22"/>
      <c r="Y74" s="22"/>
    </row>
    <row r="75" spans="1:25" x14ac:dyDescent="0.25">
      <c r="A75" s="16" t="s">
        <v>264</v>
      </c>
      <c r="B75" s="16" t="s">
        <v>265</v>
      </c>
      <c r="C75" s="16" t="s">
        <v>195</v>
      </c>
      <c r="D75" s="16" t="s">
        <v>266</v>
      </c>
      <c r="E75" s="16"/>
      <c r="F75" s="27">
        <v>0</v>
      </c>
      <c r="G75" s="27">
        <f t="shared" si="4"/>
        <v>0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>
        <f t="shared" si="5"/>
        <v>0</v>
      </c>
      <c r="U75" s="22"/>
      <c r="V75" s="22"/>
      <c r="W75" s="22"/>
      <c r="X75" s="22"/>
      <c r="Y75" s="22"/>
    </row>
    <row r="76" spans="1:25" x14ac:dyDescent="0.25">
      <c r="A76" s="16" t="s">
        <v>267</v>
      </c>
      <c r="B76" s="16" t="s">
        <v>268</v>
      </c>
      <c r="C76" s="16" t="s">
        <v>195</v>
      </c>
      <c r="D76" s="16" t="s">
        <v>269</v>
      </c>
      <c r="E76" s="17" t="s">
        <v>270</v>
      </c>
      <c r="F76" s="27">
        <v>200000</v>
      </c>
      <c r="G76" s="27">
        <f t="shared" si="4"/>
        <v>200000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>
        <f t="shared" si="5"/>
        <v>200000</v>
      </c>
      <c r="U76" s="22"/>
      <c r="V76" s="22"/>
      <c r="W76" s="22"/>
      <c r="X76" s="22"/>
      <c r="Y76" s="22"/>
    </row>
    <row r="77" spans="1:25" x14ac:dyDescent="0.25">
      <c r="A77" s="16" t="s">
        <v>271</v>
      </c>
      <c r="B77" s="16" t="s">
        <v>272</v>
      </c>
      <c r="C77" s="16" t="s">
        <v>195</v>
      </c>
      <c r="D77" s="16" t="s">
        <v>273</v>
      </c>
      <c r="E77" s="17" t="s">
        <v>274</v>
      </c>
      <c r="F77" s="27">
        <v>150000</v>
      </c>
      <c r="G77" s="27">
        <f t="shared" si="4"/>
        <v>150000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>
        <f t="shared" si="5"/>
        <v>150000</v>
      </c>
      <c r="U77" s="22"/>
      <c r="V77" s="22"/>
      <c r="W77" s="22"/>
      <c r="X77" s="22"/>
      <c r="Y77" s="22"/>
    </row>
    <row r="78" spans="1:25" x14ac:dyDescent="0.25">
      <c r="A78" s="16" t="s">
        <v>275</v>
      </c>
      <c r="B78" s="16" t="s">
        <v>276</v>
      </c>
      <c r="C78" s="16" t="s">
        <v>195</v>
      </c>
      <c r="D78" s="16" t="s">
        <v>277</v>
      </c>
      <c r="E78" s="17" t="s">
        <v>278</v>
      </c>
      <c r="F78" s="27">
        <v>0</v>
      </c>
      <c r="G78" s="27">
        <f t="shared" si="4"/>
        <v>0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>
        <f t="shared" si="5"/>
        <v>0</v>
      </c>
      <c r="U78" s="22"/>
      <c r="V78" s="22"/>
      <c r="W78" s="22"/>
      <c r="X78" s="22"/>
      <c r="Y78" s="22"/>
    </row>
    <row r="79" spans="1:25" x14ac:dyDescent="0.25">
      <c r="A79" s="16" t="s">
        <v>279</v>
      </c>
      <c r="B79" s="16" t="s">
        <v>280</v>
      </c>
      <c r="C79" s="16" t="s">
        <v>195</v>
      </c>
      <c r="D79" s="16" t="s">
        <v>281</v>
      </c>
      <c r="E79" s="16"/>
      <c r="F79" s="27">
        <v>60000</v>
      </c>
      <c r="G79" s="27">
        <f t="shared" si="4"/>
        <v>60000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>
        <f t="shared" si="5"/>
        <v>60000</v>
      </c>
      <c r="U79" s="22"/>
      <c r="V79" s="22"/>
      <c r="W79" s="22"/>
      <c r="X79" s="22"/>
      <c r="Y79" s="22"/>
    </row>
    <row r="80" spans="1:25" x14ac:dyDescent="0.25">
      <c r="A80" s="16" t="s">
        <v>282</v>
      </c>
      <c r="B80" s="16" t="s">
        <v>283</v>
      </c>
      <c r="C80" s="16" t="s">
        <v>195</v>
      </c>
      <c r="D80" s="16" t="s">
        <v>284</v>
      </c>
      <c r="E80" s="16"/>
      <c r="F80" s="27">
        <v>0</v>
      </c>
      <c r="G80" s="27">
        <f t="shared" si="4"/>
        <v>0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>
        <f t="shared" si="5"/>
        <v>0</v>
      </c>
      <c r="U80" s="22"/>
      <c r="V80" s="22"/>
      <c r="W80" s="22"/>
      <c r="X80" s="22"/>
      <c r="Y80" s="22"/>
    </row>
    <row r="81" spans="1:25" x14ac:dyDescent="0.25">
      <c r="A81" s="16" t="s">
        <v>285</v>
      </c>
      <c r="B81" s="16" t="s">
        <v>286</v>
      </c>
      <c r="C81" s="16" t="s">
        <v>195</v>
      </c>
      <c r="D81" s="16" t="s">
        <v>287</v>
      </c>
      <c r="E81" s="17" t="s">
        <v>288</v>
      </c>
      <c r="F81" s="27">
        <v>250000</v>
      </c>
      <c r="G81" s="27">
        <f t="shared" si="4"/>
        <v>250000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>
        <f t="shared" si="5"/>
        <v>250000</v>
      </c>
      <c r="U81" s="22"/>
      <c r="V81" s="22"/>
      <c r="W81" s="22"/>
      <c r="X81" s="22"/>
      <c r="Y81" s="22"/>
    </row>
    <row r="82" spans="1:25" x14ac:dyDescent="0.25">
      <c r="A82" s="16" t="s">
        <v>289</v>
      </c>
      <c r="B82" s="16" t="s">
        <v>290</v>
      </c>
      <c r="C82" s="16" t="s">
        <v>195</v>
      </c>
      <c r="D82" s="16" t="s">
        <v>291</v>
      </c>
      <c r="E82" s="16"/>
      <c r="F82" s="27">
        <v>50000</v>
      </c>
      <c r="G82" s="27">
        <f t="shared" si="4"/>
        <v>50000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>
        <f t="shared" si="5"/>
        <v>50000</v>
      </c>
      <c r="U82" s="22"/>
      <c r="V82" s="22"/>
      <c r="W82" s="22"/>
      <c r="X82" s="22"/>
      <c r="Y82" s="22"/>
    </row>
    <row r="83" spans="1:25" x14ac:dyDescent="0.25">
      <c r="A83" s="16" t="s">
        <v>292</v>
      </c>
      <c r="B83" s="16" t="s">
        <v>293</v>
      </c>
      <c r="C83" s="16" t="s">
        <v>195</v>
      </c>
      <c r="D83" s="16" t="s">
        <v>294</v>
      </c>
      <c r="E83" s="16"/>
      <c r="F83" s="27">
        <v>0</v>
      </c>
      <c r="G83" s="27">
        <f t="shared" si="4"/>
        <v>0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>
        <f t="shared" si="5"/>
        <v>0</v>
      </c>
      <c r="U83" s="22"/>
      <c r="V83" s="22"/>
      <c r="W83" s="22"/>
      <c r="X83" s="22"/>
      <c r="Y83" s="22"/>
    </row>
    <row r="84" spans="1:25" x14ac:dyDescent="0.25">
      <c r="A84" s="16" t="s">
        <v>295</v>
      </c>
      <c r="B84" s="16" t="s">
        <v>296</v>
      </c>
      <c r="C84" s="16" t="s">
        <v>195</v>
      </c>
      <c r="D84" s="16" t="s">
        <v>297</v>
      </c>
      <c r="E84" s="17" t="s">
        <v>298</v>
      </c>
      <c r="F84" s="27">
        <v>400000</v>
      </c>
      <c r="G84" s="27">
        <f t="shared" si="4"/>
        <v>400000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>
        <f t="shared" si="5"/>
        <v>400000</v>
      </c>
      <c r="U84" s="22"/>
      <c r="V84" s="22"/>
      <c r="W84" s="22"/>
      <c r="X84" s="22"/>
      <c r="Y84" s="22"/>
    </row>
    <row r="85" spans="1:25" x14ac:dyDescent="0.25">
      <c r="A85" s="16" t="s">
        <v>299</v>
      </c>
      <c r="B85" s="16" t="s">
        <v>300</v>
      </c>
      <c r="C85" s="16" t="s">
        <v>195</v>
      </c>
      <c r="D85" s="16" t="s">
        <v>301</v>
      </c>
      <c r="E85" s="16"/>
      <c r="F85" s="27">
        <v>100000</v>
      </c>
      <c r="G85" s="27">
        <f t="shared" si="4"/>
        <v>100000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>
        <f t="shared" si="5"/>
        <v>100000</v>
      </c>
      <c r="U85" s="22"/>
      <c r="V85" s="22"/>
      <c r="W85" s="22"/>
      <c r="X85" s="22"/>
      <c r="Y85" s="22"/>
    </row>
    <row r="86" spans="1:25" x14ac:dyDescent="0.25">
      <c r="A86" s="16" t="s">
        <v>302</v>
      </c>
      <c r="B86" s="16" t="s">
        <v>303</v>
      </c>
      <c r="C86" s="16" t="s">
        <v>195</v>
      </c>
      <c r="D86" s="16" t="s">
        <v>304</v>
      </c>
      <c r="E86" s="16"/>
      <c r="F86" s="27">
        <v>0</v>
      </c>
      <c r="G86" s="27">
        <f t="shared" si="4"/>
        <v>0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>
        <f t="shared" si="5"/>
        <v>0</v>
      </c>
      <c r="U86" s="22"/>
      <c r="V86" s="22"/>
      <c r="W86" s="22"/>
      <c r="X86" s="22"/>
      <c r="Y86" s="22"/>
    </row>
    <row r="87" spans="1:25" x14ac:dyDescent="0.25">
      <c r="A87" s="16" t="s">
        <v>305</v>
      </c>
      <c r="B87" s="16" t="s">
        <v>234</v>
      </c>
      <c r="C87" s="16" t="s">
        <v>195</v>
      </c>
      <c r="D87" s="16" t="s">
        <v>306</v>
      </c>
      <c r="E87" s="16"/>
      <c r="F87" s="27">
        <v>0</v>
      </c>
      <c r="G87" s="27">
        <f t="shared" si="4"/>
        <v>0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>
        <f t="shared" si="5"/>
        <v>0</v>
      </c>
      <c r="U87" s="22"/>
      <c r="V87" s="22"/>
      <c r="W87" s="22"/>
      <c r="X87" s="22"/>
      <c r="Y87" s="22"/>
    </row>
    <row r="88" spans="1:25" x14ac:dyDescent="0.25">
      <c r="A88" s="16" t="s">
        <v>307</v>
      </c>
      <c r="B88" s="16" t="s">
        <v>139</v>
      </c>
      <c r="C88" s="16" t="s">
        <v>195</v>
      </c>
      <c r="D88" s="16" t="s">
        <v>308</v>
      </c>
      <c r="E88" s="17" t="s">
        <v>309</v>
      </c>
      <c r="F88" s="27">
        <v>100000</v>
      </c>
      <c r="G88" s="27">
        <f t="shared" si="4"/>
        <v>100000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>
        <f t="shared" si="5"/>
        <v>100000</v>
      </c>
      <c r="U88" s="22"/>
      <c r="V88" s="22"/>
      <c r="W88" s="22"/>
      <c r="X88" s="22"/>
      <c r="Y88" s="22"/>
    </row>
    <row r="89" spans="1:25" x14ac:dyDescent="0.25">
      <c r="A89" s="16" t="s">
        <v>310</v>
      </c>
      <c r="B89" s="16" t="s">
        <v>548</v>
      </c>
      <c r="C89" s="16" t="s">
        <v>195</v>
      </c>
      <c r="D89" s="16" t="s">
        <v>312</v>
      </c>
      <c r="E89" s="17" t="s">
        <v>313</v>
      </c>
      <c r="F89" s="27">
        <v>30000</v>
      </c>
      <c r="G89" s="27">
        <f t="shared" si="4"/>
        <v>30000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>
        <f t="shared" si="5"/>
        <v>30000</v>
      </c>
      <c r="U89" s="22"/>
      <c r="V89" s="22"/>
      <c r="W89" s="22"/>
      <c r="X89" s="22"/>
      <c r="Y89" s="22"/>
    </row>
    <row r="90" spans="1:25" x14ac:dyDescent="0.25">
      <c r="A90" s="16" t="s">
        <v>314</v>
      </c>
      <c r="B90" s="16" t="s">
        <v>315</v>
      </c>
      <c r="C90" s="16" t="s">
        <v>195</v>
      </c>
      <c r="D90" s="16" t="s">
        <v>316</v>
      </c>
      <c r="E90" s="16"/>
      <c r="F90" s="27">
        <v>0</v>
      </c>
      <c r="G90" s="27">
        <f t="shared" si="4"/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>
        <f t="shared" si="5"/>
        <v>0</v>
      </c>
      <c r="U90" s="22"/>
      <c r="V90" s="22"/>
      <c r="W90" s="22"/>
      <c r="X90" s="22"/>
      <c r="Y90" s="22"/>
    </row>
    <row r="91" spans="1:25" x14ac:dyDescent="0.25">
      <c r="A91" s="16" t="s">
        <v>317</v>
      </c>
      <c r="B91" s="16" t="s">
        <v>318</v>
      </c>
      <c r="C91" s="16" t="s">
        <v>195</v>
      </c>
      <c r="D91" s="16" t="s">
        <v>319</v>
      </c>
      <c r="E91" s="16"/>
      <c r="F91" s="27">
        <v>0</v>
      </c>
      <c r="G91" s="27">
        <f t="shared" si="4"/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>
        <f t="shared" si="5"/>
        <v>0</v>
      </c>
      <c r="U91" s="22"/>
      <c r="V91" s="22"/>
      <c r="W91" s="22"/>
      <c r="X91" s="22"/>
      <c r="Y91" s="22"/>
    </row>
    <row r="92" spans="1:25" x14ac:dyDescent="0.25">
      <c r="A92" s="16" t="s">
        <v>320</v>
      </c>
      <c r="B92" s="16" t="s">
        <v>321</v>
      </c>
      <c r="C92" s="16" t="s">
        <v>195</v>
      </c>
      <c r="D92" s="16" t="s">
        <v>322</v>
      </c>
      <c r="E92" s="16"/>
      <c r="F92" s="27">
        <v>100000</v>
      </c>
      <c r="G92" s="27">
        <f t="shared" si="4"/>
        <v>100000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>
        <f t="shared" si="5"/>
        <v>100000</v>
      </c>
      <c r="U92" s="22"/>
      <c r="V92" s="22"/>
      <c r="W92" s="22"/>
      <c r="X92" s="22"/>
      <c r="Y92" s="22"/>
    </row>
    <row r="93" spans="1:25" x14ac:dyDescent="0.25">
      <c r="A93" s="16" t="s">
        <v>323</v>
      </c>
      <c r="B93" s="16" t="s">
        <v>324</v>
      </c>
      <c r="C93" s="16" t="s">
        <v>195</v>
      </c>
      <c r="D93" s="16" t="s">
        <v>325</v>
      </c>
      <c r="E93" s="17" t="s">
        <v>326</v>
      </c>
      <c r="F93" s="27">
        <v>50000</v>
      </c>
      <c r="G93" s="27">
        <f t="shared" si="4"/>
        <v>50000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>
        <f t="shared" si="5"/>
        <v>50000</v>
      </c>
      <c r="U93" s="22"/>
      <c r="V93" s="22"/>
      <c r="W93" s="22"/>
      <c r="X93" s="22"/>
      <c r="Y93" s="22"/>
    </row>
    <row r="94" spans="1:25" x14ac:dyDescent="0.25">
      <c r="A94" s="16" t="s">
        <v>327</v>
      </c>
      <c r="B94" s="16" t="s">
        <v>328</v>
      </c>
      <c r="C94" s="16" t="s">
        <v>195</v>
      </c>
      <c r="D94" s="16" t="s">
        <v>329</v>
      </c>
      <c r="E94" s="16"/>
      <c r="F94" s="27">
        <v>0</v>
      </c>
      <c r="G94" s="27">
        <f t="shared" si="4"/>
        <v>0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>
        <f t="shared" si="5"/>
        <v>0</v>
      </c>
      <c r="U94" s="22"/>
      <c r="V94" s="22"/>
      <c r="W94" s="22"/>
      <c r="X94" s="22"/>
      <c r="Y94" s="22"/>
    </row>
    <row r="95" spans="1:25" x14ac:dyDescent="0.25">
      <c r="A95" s="16" t="s">
        <v>330</v>
      </c>
      <c r="B95" s="16" t="s">
        <v>331</v>
      </c>
      <c r="C95" s="16" t="s">
        <v>195</v>
      </c>
      <c r="D95" s="16" t="s">
        <v>332</v>
      </c>
      <c r="E95" s="16"/>
      <c r="F95" s="27">
        <v>0</v>
      </c>
      <c r="G95" s="27">
        <f t="shared" si="4"/>
        <v>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>
        <f t="shared" si="5"/>
        <v>0</v>
      </c>
      <c r="U95" s="22"/>
      <c r="V95" s="22"/>
      <c r="W95" s="22"/>
      <c r="X95" s="22"/>
      <c r="Y95" s="22"/>
    </row>
    <row r="96" spans="1:25" x14ac:dyDescent="0.25">
      <c r="A96" s="16" t="s">
        <v>333</v>
      </c>
      <c r="B96" s="16" t="s">
        <v>334</v>
      </c>
      <c r="C96" s="16" t="s">
        <v>195</v>
      </c>
      <c r="D96" s="16" t="s">
        <v>335</v>
      </c>
      <c r="E96" s="16"/>
      <c r="F96" s="27">
        <v>0</v>
      </c>
      <c r="G96" s="27">
        <f t="shared" si="4"/>
        <v>0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>
        <f t="shared" si="5"/>
        <v>0</v>
      </c>
      <c r="U96" s="22"/>
      <c r="V96" s="22"/>
      <c r="W96" s="22"/>
      <c r="X96" s="22"/>
      <c r="Y96" s="22"/>
    </row>
    <row r="97" spans="1:25" x14ac:dyDescent="0.25">
      <c r="A97" s="16" t="s">
        <v>336</v>
      </c>
      <c r="B97" s="16" t="s">
        <v>549</v>
      </c>
      <c r="C97" s="16" t="s">
        <v>195</v>
      </c>
      <c r="D97" s="16" t="s">
        <v>338</v>
      </c>
      <c r="E97" s="17" t="s">
        <v>339</v>
      </c>
      <c r="F97" s="27">
        <v>39000</v>
      </c>
      <c r="G97" s="27">
        <f t="shared" si="4"/>
        <v>39000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>
        <f t="shared" si="5"/>
        <v>39000</v>
      </c>
      <c r="U97" s="22"/>
      <c r="V97" s="22"/>
      <c r="W97" s="22"/>
      <c r="X97" s="22"/>
      <c r="Y97" s="22"/>
    </row>
    <row r="98" spans="1:25" x14ac:dyDescent="0.25">
      <c r="A98" s="16" t="s">
        <v>340</v>
      </c>
      <c r="B98" s="16" t="s">
        <v>341</v>
      </c>
      <c r="C98" s="16" t="s">
        <v>195</v>
      </c>
      <c r="D98" s="16" t="s">
        <v>342</v>
      </c>
      <c r="E98" s="17" t="s">
        <v>343</v>
      </c>
      <c r="F98" s="27">
        <v>100000</v>
      </c>
      <c r="G98" s="27">
        <f t="shared" ref="G98:G127" si="6">F98+SUM(H98:S98)</f>
        <v>100000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>
        <f t="shared" ref="T98:T127" si="7">G98</f>
        <v>100000</v>
      </c>
      <c r="U98" s="22"/>
      <c r="V98" s="22"/>
      <c r="W98" s="22"/>
      <c r="X98" s="22"/>
      <c r="Y98" s="22"/>
    </row>
    <row r="99" spans="1:25" x14ac:dyDescent="0.25">
      <c r="A99" s="16" t="s">
        <v>344</v>
      </c>
      <c r="B99" s="16" t="s">
        <v>345</v>
      </c>
      <c r="C99" s="16" t="s">
        <v>195</v>
      </c>
      <c r="D99" s="16" t="s">
        <v>346</v>
      </c>
      <c r="E99" s="17" t="s">
        <v>347</v>
      </c>
      <c r="F99" s="27">
        <v>0</v>
      </c>
      <c r="G99" s="27">
        <f t="shared" si="6"/>
        <v>0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>
        <f t="shared" si="7"/>
        <v>0</v>
      </c>
      <c r="U99" s="22"/>
      <c r="V99" s="22"/>
      <c r="W99" s="22"/>
      <c r="X99" s="22"/>
      <c r="Y99" s="22"/>
    </row>
    <row r="100" spans="1:25" x14ac:dyDescent="0.25">
      <c r="A100" s="16" t="s">
        <v>348</v>
      </c>
      <c r="B100" s="16" t="s">
        <v>349</v>
      </c>
      <c r="C100" s="16" t="s">
        <v>195</v>
      </c>
      <c r="D100" s="16" t="s">
        <v>350</v>
      </c>
      <c r="E100" s="17" t="s">
        <v>351</v>
      </c>
      <c r="F100" s="27">
        <v>100000</v>
      </c>
      <c r="G100" s="27">
        <f t="shared" si="6"/>
        <v>100000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>
        <f t="shared" si="7"/>
        <v>100000</v>
      </c>
      <c r="U100" s="22"/>
      <c r="V100" s="22"/>
      <c r="W100" s="22"/>
      <c r="X100" s="22"/>
      <c r="Y100" s="22"/>
    </row>
    <row r="101" spans="1:25" x14ac:dyDescent="0.25">
      <c r="A101" s="16" t="s">
        <v>352</v>
      </c>
      <c r="B101" s="16" t="s">
        <v>353</v>
      </c>
      <c r="C101" s="16" t="s">
        <v>195</v>
      </c>
      <c r="D101" s="16" t="s">
        <v>354</v>
      </c>
      <c r="E101" s="17" t="s">
        <v>355</v>
      </c>
      <c r="F101" s="27">
        <v>200000</v>
      </c>
      <c r="G101" s="27">
        <f t="shared" si="6"/>
        <v>200000</v>
      </c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>
        <f t="shared" si="7"/>
        <v>200000</v>
      </c>
      <c r="U101" s="22"/>
      <c r="V101" s="22"/>
      <c r="W101" s="22"/>
      <c r="X101" s="22"/>
      <c r="Y101" s="22"/>
    </row>
    <row r="102" spans="1:25" x14ac:dyDescent="0.25">
      <c r="A102" s="16" t="s">
        <v>356</v>
      </c>
      <c r="B102" s="16" t="s">
        <v>357</v>
      </c>
      <c r="C102" s="16" t="s">
        <v>195</v>
      </c>
      <c r="D102" s="16" t="s">
        <v>358</v>
      </c>
      <c r="E102" s="16"/>
      <c r="F102" s="27">
        <v>0</v>
      </c>
      <c r="G102" s="27">
        <f t="shared" si="6"/>
        <v>0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>
        <f t="shared" si="7"/>
        <v>0</v>
      </c>
      <c r="U102" s="22"/>
      <c r="V102" s="22"/>
      <c r="W102" s="22"/>
      <c r="X102" s="22"/>
      <c r="Y102" s="22"/>
    </row>
    <row r="103" spans="1:25" x14ac:dyDescent="0.25">
      <c r="A103" s="16" t="s">
        <v>359</v>
      </c>
      <c r="B103" s="16" t="s">
        <v>360</v>
      </c>
      <c r="C103" s="16" t="s">
        <v>195</v>
      </c>
      <c r="D103" s="16" t="s">
        <v>361</v>
      </c>
      <c r="E103" s="17" t="s">
        <v>362</v>
      </c>
      <c r="F103" s="27">
        <v>270000</v>
      </c>
      <c r="G103" s="27">
        <f t="shared" si="6"/>
        <v>270000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>
        <f t="shared" si="7"/>
        <v>270000</v>
      </c>
      <c r="U103" s="22"/>
      <c r="V103" s="22"/>
      <c r="W103" s="22"/>
      <c r="X103" s="22"/>
      <c r="Y103" s="22"/>
    </row>
    <row r="104" spans="1:25" x14ac:dyDescent="0.25">
      <c r="A104" s="16" t="s">
        <v>363</v>
      </c>
      <c r="B104" s="16" t="s">
        <v>364</v>
      </c>
      <c r="C104" s="16" t="s">
        <v>195</v>
      </c>
      <c r="D104" s="16" t="s">
        <v>365</v>
      </c>
      <c r="E104" s="17" t="s">
        <v>366</v>
      </c>
      <c r="F104" s="27">
        <v>50000</v>
      </c>
      <c r="G104" s="27">
        <f t="shared" si="6"/>
        <v>50000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>
        <f t="shared" si="7"/>
        <v>50000</v>
      </c>
      <c r="U104" s="22"/>
      <c r="V104" s="22"/>
      <c r="W104" s="22"/>
      <c r="X104" s="22"/>
      <c r="Y104" s="22"/>
    </row>
    <row r="105" spans="1:25" x14ac:dyDescent="0.25">
      <c r="A105" s="16" t="s">
        <v>367</v>
      </c>
      <c r="B105" s="16" t="s">
        <v>368</v>
      </c>
      <c r="C105" s="16" t="s">
        <v>195</v>
      </c>
      <c r="D105" s="16" t="s">
        <v>369</v>
      </c>
      <c r="E105" s="17" t="s">
        <v>370</v>
      </c>
      <c r="F105" s="27">
        <v>250000</v>
      </c>
      <c r="G105" s="27">
        <f t="shared" si="6"/>
        <v>250000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>
        <f t="shared" si="7"/>
        <v>250000</v>
      </c>
      <c r="U105" s="22"/>
      <c r="V105" s="22"/>
      <c r="W105" s="22"/>
      <c r="X105" s="22"/>
      <c r="Y105" s="22"/>
    </row>
    <row r="106" spans="1:25" x14ac:dyDescent="0.25">
      <c r="A106" s="16" t="s">
        <v>371</v>
      </c>
      <c r="B106" s="16" t="s">
        <v>372</v>
      </c>
      <c r="C106" s="16" t="s">
        <v>195</v>
      </c>
      <c r="D106" s="16" t="s">
        <v>373</v>
      </c>
      <c r="E106" s="16"/>
      <c r="F106" s="27">
        <v>0</v>
      </c>
      <c r="G106" s="27">
        <f t="shared" si="6"/>
        <v>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>
        <f t="shared" si="7"/>
        <v>0</v>
      </c>
      <c r="U106" s="22"/>
      <c r="V106" s="22"/>
      <c r="W106" s="22"/>
      <c r="X106" s="22"/>
      <c r="Y106" s="22"/>
    </row>
    <row r="107" spans="1:25" x14ac:dyDescent="0.25">
      <c r="A107" s="16" t="s">
        <v>374</v>
      </c>
      <c r="B107" s="16" t="s">
        <v>375</v>
      </c>
      <c r="C107" s="16" t="s">
        <v>376</v>
      </c>
      <c r="D107" s="16" t="s">
        <v>377</v>
      </c>
      <c r="E107" s="16"/>
      <c r="F107" s="27">
        <v>300000</v>
      </c>
      <c r="G107" s="27">
        <f t="shared" si="6"/>
        <v>300000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>
        <f t="shared" si="7"/>
        <v>300000</v>
      </c>
      <c r="U107" s="22"/>
      <c r="V107" s="22"/>
      <c r="W107" s="22"/>
      <c r="X107" s="22"/>
      <c r="Y107" s="22"/>
    </row>
    <row r="108" spans="1:25" x14ac:dyDescent="0.25">
      <c r="A108" s="16" t="s">
        <v>378</v>
      </c>
      <c r="B108" s="16" t="s">
        <v>379</v>
      </c>
      <c r="C108" s="16" t="s">
        <v>380</v>
      </c>
      <c r="D108" s="16" t="s">
        <v>381</v>
      </c>
      <c r="E108" s="17" t="s">
        <v>382</v>
      </c>
      <c r="F108" s="27">
        <v>300000</v>
      </c>
      <c r="G108" s="27">
        <f t="shared" si="6"/>
        <v>300000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>
        <f t="shared" si="7"/>
        <v>300000</v>
      </c>
      <c r="U108" s="22"/>
      <c r="V108" s="22"/>
      <c r="W108" s="22"/>
      <c r="X108" s="22"/>
      <c r="Y108" s="22"/>
    </row>
    <row r="109" spans="1:25" x14ac:dyDescent="0.25">
      <c r="A109" s="16" t="s">
        <v>383</v>
      </c>
      <c r="B109" s="16" t="s">
        <v>384</v>
      </c>
      <c r="C109" s="16" t="s">
        <v>380</v>
      </c>
      <c r="D109" s="16" t="s">
        <v>385</v>
      </c>
      <c r="E109" s="17" t="s">
        <v>386</v>
      </c>
      <c r="F109" s="27">
        <v>300000</v>
      </c>
      <c r="G109" s="27">
        <f t="shared" si="6"/>
        <v>400000</v>
      </c>
      <c r="H109" s="28">
        <v>50000</v>
      </c>
      <c r="I109" s="28">
        <v>50000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>
        <f t="shared" si="7"/>
        <v>400000</v>
      </c>
      <c r="U109" s="22"/>
      <c r="V109" s="22"/>
      <c r="W109" s="22"/>
      <c r="X109" s="22"/>
      <c r="Y109" s="22"/>
    </row>
    <row r="110" spans="1:25" x14ac:dyDescent="0.25">
      <c r="A110" s="16" t="s">
        <v>387</v>
      </c>
      <c r="B110" s="16" t="s">
        <v>388</v>
      </c>
      <c r="C110" s="16" t="s">
        <v>380</v>
      </c>
      <c r="D110" s="16" t="s">
        <v>389</v>
      </c>
      <c r="E110" s="17" t="s">
        <v>390</v>
      </c>
      <c r="F110" s="27">
        <v>250000</v>
      </c>
      <c r="G110" s="27">
        <f t="shared" si="6"/>
        <v>250000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>
        <f t="shared" si="7"/>
        <v>250000</v>
      </c>
      <c r="U110" s="22"/>
      <c r="V110" s="22"/>
      <c r="W110" s="22"/>
      <c r="X110" s="22"/>
      <c r="Y110" s="22"/>
    </row>
    <row r="111" spans="1:25" x14ac:dyDescent="0.25">
      <c r="A111" s="16" t="s">
        <v>391</v>
      </c>
      <c r="B111" s="16" t="s">
        <v>392</v>
      </c>
      <c r="C111" s="16" t="s">
        <v>380</v>
      </c>
      <c r="D111" s="16" t="s">
        <v>393</v>
      </c>
      <c r="E111" s="17" t="s">
        <v>394</v>
      </c>
      <c r="F111" s="27">
        <v>250000</v>
      </c>
      <c r="G111" s="27">
        <f t="shared" si="6"/>
        <v>250000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>
        <f t="shared" si="7"/>
        <v>250000</v>
      </c>
      <c r="U111" s="22"/>
      <c r="V111" s="22"/>
      <c r="W111" s="22"/>
      <c r="X111" s="22"/>
      <c r="Y111" s="22"/>
    </row>
    <row r="112" spans="1:25" x14ac:dyDescent="0.25">
      <c r="A112" s="16" t="s">
        <v>395</v>
      </c>
      <c r="B112" s="16" t="s">
        <v>396</v>
      </c>
      <c r="C112" s="16" t="s">
        <v>380</v>
      </c>
      <c r="D112" s="16" t="s">
        <v>397</v>
      </c>
      <c r="E112" s="17" t="s">
        <v>398</v>
      </c>
      <c r="F112" s="27">
        <v>100000</v>
      </c>
      <c r="G112" s="27">
        <f t="shared" si="6"/>
        <v>100000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>
        <f t="shared" si="7"/>
        <v>100000</v>
      </c>
      <c r="U112" s="22"/>
      <c r="V112" s="22"/>
      <c r="W112" s="22"/>
      <c r="X112" s="22"/>
      <c r="Y112" s="22"/>
    </row>
    <row r="113" spans="1:25" x14ac:dyDescent="0.25">
      <c r="A113" s="16" t="s">
        <v>399</v>
      </c>
      <c r="B113" s="16" t="s">
        <v>400</v>
      </c>
      <c r="C113" s="16" t="s">
        <v>380</v>
      </c>
      <c r="D113" s="16" t="s">
        <v>401</v>
      </c>
      <c r="E113" s="17" t="s">
        <v>402</v>
      </c>
      <c r="F113" s="27">
        <v>150000</v>
      </c>
      <c r="G113" s="27">
        <f t="shared" si="6"/>
        <v>150000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>
        <f t="shared" si="7"/>
        <v>150000</v>
      </c>
      <c r="U113" s="22"/>
      <c r="V113" s="22"/>
      <c r="W113" s="22"/>
      <c r="X113" s="22"/>
      <c r="Y113" s="22"/>
    </row>
    <row r="114" spans="1:25" x14ac:dyDescent="0.25">
      <c r="A114" s="16" t="s">
        <v>403</v>
      </c>
      <c r="B114" s="16" t="s">
        <v>550</v>
      </c>
      <c r="C114" s="16" t="s">
        <v>380</v>
      </c>
      <c r="D114" s="16" t="s">
        <v>405</v>
      </c>
      <c r="E114" s="16"/>
      <c r="F114" s="27">
        <v>125000</v>
      </c>
      <c r="G114" s="27">
        <f t="shared" si="6"/>
        <v>125000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>
        <f t="shared" si="7"/>
        <v>125000</v>
      </c>
      <c r="U114" s="22"/>
      <c r="V114" s="22"/>
      <c r="W114" s="22"/>
      <c r="X114" s="22"/>
      <c r="Y114" s="22"/>
    </row>
    <row r="115" spans="1:25" x14ac:dyDescent="0.25">
      <c r="A115" s="16" t="s">
        <v>406</v>
      </c>
      <c r="B115" s="16" t="s">
        <v>551</v>
      </c>
      <c r="C115" s="16" t="s">
        <v>380</v>
      </c>
      <c r="D115" s="16" t="s">
        <v>408</v>
      </c>
      <c r="E115" s="16"/>
      <c r="F115" s="27">
        <v>150000</v>
      </c>
      <c r="G115" s="27">
        <f t="shared" si="6"/>
        <v>250000</v>
      </c>
      <c r="H115" s="28">
        <v>50000</v>
      </c>
      <c r="I115" s="28">
        <v>50000</v>
      </c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>
        <f t="shared" si="7"/>
        <v>250000</v>
      </c>
      <c r="U115" s="22"/>
      <c r="V115" s="22"/>
      <c r="W115" s="22"/>
      <c r="X115" s="22"/>
      <c r="Y115" s="22"/>
    </row>
    <row r="116" spans="1:25" x14ac:dyDescent="0.25">
      <c r="A116" s="16" t="s">
        <v>409</v>
      </c>
      <c r="B116" s="16" t="s">
        <v>198</v>
      </c>
      <c r="C116" s="16" t="s">
        <v>380</v>
      </c>
      <c r="D116" s="16" t="s">
        <v>410</v>
      </c>
      <c r="E116" s="16"/>
      <c r="F116" s="27">
        <v>0</v>
      </c>
      <c r="G116" s="27">
        <f t="shared" si="6"/>
        <v>0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>
        <f t="shared" si="7"/>
        <v>0</v>
      </c>
      <c r="U116" s="22"/>
      <c r="V116" s="22"/>
      <c r="W116" s="22"/>
      <c r="X116" s="22"/>
      <c r="Y116" s="22"/>
    </row>
    <row r="117" spans="1:25" x14ac:dyDescent="0.25">
      <c r="A117" s="16" t="s">
        <v>411</v>
      </c>
      <c r="B117" s="16" t="s">
        <v>412</v>
      </c>
      <c r="C117" s="16" t="s">
        <v>413</v>
      </c>
      <c r="D117" s="16" t="s">
        <v>101</v>
      </c>
      <c r="E117" s="17" t="s">
        <v>414</v>
      </c>
      <c r="F117" s="27">
        <v>500000</v>
      </c>
      <c r="G117" s="27">
        <f t="shared" si="6"/>
        <v>500000</v>
      </c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>
        <f t="shared" si="7"/>
        <v>500000</v>
      </c>
      <c r="U117" s="22"/>
      <c r="V117" s="22"/>
      <c r="W117" s="22"/>
      <c r="X117" s="22"/>
      <c r="Y117" s="22"/>
    </row>
    <row r="118" spans="1:25" x14ac:dyDescent="0.25">
      <c r="A118" s="16" t="s">
        <v>415</v>
      </c>
      <c r="B118" s="16" t="s">
        <v>552</v>
      </c>
      <c r="C118" s="16" t="s">
        <v>413</v>
      </c>
      <c r="D118" s="16" t="s">
        <v>109</v>
      </c>
      <c r="E118" s="17" t="s">
        <v>417</v>
      </c>
      <c r="F118" s="27">
        <v>160000</v>
      </c>
      <c r="G118" s="27">
        <f t="shared" si="6"/>
        <v>160000</v>
      </c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>
        <f t="shared" si="7"/>
        <v>160000</v>
      </c>
      <c r="U118" s="22"/>
      <c r="V118" s="22"/>
      <c r="W118" s="22"/>
      <c r="X118" s="22"/>
      <c r="Y118" s="22"/>
    </row>
    <row r="119" spans="1:25" x14ac:dyDescent="0.25">
      <c r="A119" s="16" t="s">
        <v>418</v>
      </c>
      <c r="B119" s="16" t="s">
        <v>419</v>
      </c>
      <c r="C119" s="16" t="s">
        <v>413</v>
      </c>
      <c r="D119" s="16" t="s">
        <v>420</v>
      </c>
      <c r="E119" s="17" t="s">
        <v>421</v>
      </c>
      <c r="F119" s="27">
        <v>150000</v>
      </c>
      <c r="G119" s="27">
        <f t="shared" si="6"/>
        <v>150000</v>
      </c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>
        <f t="shared" si="7"/>
        <v>150000</v>
      </c>
      <c r="U119" s="22"/>
      <c r="V119" s="22"/>
      <c r="W119" s="22"/>
      <c r="X119" s="22"/>
      <c r="Y119" s="22"/>
    </row>
    <row r="120" spans="1:25" x14ac:dyDescent="0.25">
      <c r="A120" s="16" t="s">
        <v>422</v>
      </c>
      <c r="B120" s="16" t="s">
        <v>423</v>
      </c>
      <c r="C120" s="16" t="s">
        <v>413</v>
      </c>
      <c r="D120" s="16" t="s">
        <v>420</v>
      </c>
      <c r="E120" s="17" t="s">
        <v>424</v>
      </c>
      <c r="F120" s="27">
        <v>200000</v>
      </c>
      <c r="G120" s="27">
        <f t="shared" si="6"/>
        <v>200000</v>
      </c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>
        <f t="shared" si="7"/>
        <v>200000</v>
      </c>
      <c r="U120" s="22"/>
      <c r="V120" s="22"/>
      <c r="W120" s="22"/>
      <c r="X120" s="22"/>
      <c r="Y120" s="22"/>
    </row>
    <row r="121" spans="1:25" x14ac:dyDescent="0.25">
      <c r="A121" s="16" t="s">
        <v>425</v>
      </c>
      <c r="B121" s="16" t="s">
        <v>426</v>
      </c>
      <c r="C121" s="16" t="s">
        <v>413</v>
      </c>
      <c r="D121" s="16" t="s">
        <v>246</v>
      </c>
      <c r="E121" s="17" t="s">
        <v>427</v>
      </c>
      <c r="F121" s="27">
        <v>500000</v>
      </c>
      <c r="G121" s="27">
        <f t="shared" si="6"/>
        <v>500000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>
        <f t="shared" si="7"/>
        <v>500000</v>
      </c>
      <c r="U121" s="22"/>
      <c r="V121" s="22"/>
      <c r="W121" s="22"/>
      <c r="X121" s="22"/>
      <c r="Y121" s="22"/>
    </row>
    <row r="122" spans="1:25" x14ac:dyDescent="0.25">
      <c r="A122" s="16" t="s">
        <v>428</v>
      </c>
      <c r="B122" s="16" t="s">
        <v>429</v>
      </c>
      <c r="C122" s="16" t="s">
        <v>413</v>
      </c>
      <c r="D122" s="16" t="s">
        <v>430</v>
      </c>
      <c r="E122" s="17" t="s">
        <v>431</v>
      </c>
      <c r="F122" s="27">
        <v>220000</v>
      </c>
      <c r="G122" s="27">
        <f t="shared" si="6"/>
        <v>220000</v>
      </c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>
        <f t="shared" si="7"/>
        <v>220000</v>
      </c>
      <c r="U122" s="22"/>
      <c r="V122" s="22"/>
      <c r="W122" s="22"/>
      <c r="X122" s="22"/>
      <c r="Y122" s="22"/>
    </row>
    <row r="123" spans="1:25" x14ac:dyDescent="0.25">
      <c r="A123" s="16" t="s">
        <v>432</v>
      </c>
      <c r="B123" s="16" t="s">
        <v>433</v>
      </c>
      <c r="C123" s="16" t="s">
        <v>413</v>
      </c>
      <c r="D123" s="16" t="s">
        <v>434</v>
      </c>
      <c r="E123" s="17" t="s">
        <v>435</v>
      </c>
      <c r="F123" s="27">
        <v>500000</v>
      </c>
      <c r="G123" s="27">
        <f t="shared" si="6"/>
        <v>500000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>
        <f t="shared" si="7"/>
        <v>500000</v>
      </c>
      <c r="U123" s="22"/>
      <c r="V123" s="22"/>
      <c r="W123" s="22"/>
      <c r="X123" s="22"/>
      <c r="Y123" s="22"/>
    </row>
    <row r="124" spans="1:25" x14ac:dyDescent="0.25">
      <c r="A124" s="16" t="s">
        <v>436</v>
      </c>
      <c r="B124" s="16" t="s">
        <v>553</v>
      </c>
      <c r="C124" s="16" t="s">
        <v>413</v>
      </c>
      <c r="D124" s="16" t="s">
        <v>306</v>
      </c>
      <c r="E124" s="17" t="s">
        <v>438</v>
      </c>
      <c r="F124" s="27">
        <v>330000</v>
      </c>
      <c r="G124" s="27">
        <f t="shared" si="6"/>
        <v>330000</v>
      </c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>
        <f t="shared" si="7"/>
        <v>330000</v>
      </c>
      <c r="U124" s="22"/>
      <c r="V124" s="22"/>
      <c r="W124" s="22"/>
      <c r="X124" s="22"/>
      <c r="Y124" s="22"/>
    </row>
    <row r="125" spans="1:25" x14ac:dyDescent="0.25">
      <c r="A125" s="16" t="s">
        <v>439</v>
      </c>
      <c r="B125" s="16" t="s">
        <v>440</v>
      </c>
      <c r="C125" s="16" t="s">
        <v>413</v>
      </c>
      <c r="D125" s="16" t="s">
        <v>441</v>
      </c>
      <c r="E125" s="17" t="s">
        <v>442</v>
      </c>
      <c r="F125" s="27">
        <v>280000</v>
      </c>
      <c r="G125" s="27">
        <f t="shared" si="6"/>
        <v>280000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>
        <f t="shared" si="7"/>
        <v>280000</v>
      </c>
      <c r="U125" s="22"/>
      <c r="V125" s="22"/>
      <c r="W125" s="22"/>
      <c r="X125" s="22"/>
      <c r="Y125" s="22"/>
    </row>
    <row r="126" spans="1:25" x14ac:dyDescent="0.25">
      <c r="A126" s="16" t="s">
        <v>443</v>
      </c>
      <c r="B126" s="16" t="s">
        <v>444</v>
      </c>
      <c r="C126" s="16" t="s">
        <v>413</v>
      </c>
      <c r="D126" s="16" t="s">
        <v>445</v>
      </c>
      <c r="E126" s="17" t="s">
        <v>446</v>
      </c>
      <c r="F126" s="27">
        <v>500000</v>
      </c>
      <c r="G126" s="27">
        <f t="shared" si="6"/>
        <v>500000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>
        <f t="shared" si="7"/>
        <v>500000</v>
      </c>
      <c r="U126" s="22"/>
      <c r="V126" s="22"/>
      <c r="W126" s="22"/>
      <c r="X126" s="22"/>
      <c r="Y126" s="22"/>
    </row>
    <row r="127" spans="1:25" x14ac:dyDescent="0.25">
      <c r="A127" s="16" t="s">
        <v>447</v>
      </c>
      <c r="B127" s="16" t="s">
        <v>451</v>
      </c>
      <c r="C127" s="16" t="s">
        <v>195</v>
      </c>
      <c r="D127" s="16"/>
      <c r="E127" s="17" t="s">
        <v>452</v>
      </c>
      <c r="F127" s="27">
        <v>0</v>
      </c>
      <c r="G127" s="27">
        <f t="shared" si="6"/>
        <v>0</v>
      </c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>
        <f t="shared" si="7"/>
        <v>0</v>
      </c>
      <c r="U127" s="22"/>
      <c r="V127" s="22"/>
      <c r="W127" s="22"/>
      <c r="X127" s="22"/>
      <c r="Y127" s="22"/>
    </row>
    <row r="128" spans="1:25" x14ac:dyDescent="0.25">
      <c r="A128" s="16" t="s">
        <v>450</v>
      </c>
      <c r="B128" s="16" t="s">
        <v>454</v>
      </c>
      <c r="C128" s="16" t="s">
        <v>195</v>
      </c>
      <c r="D128" s="16" t="s">
        <v>97</v>
      </c>
      <c r="E128" s="16"/>
      <c r="F128" s="27"/>
      <c r="G128" s="27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2"/>
      <c r="V128" s="22"/>
      <c r="W128" s="22"/>
      <c r="X128" s="22"/>
      <c r="Y128" s="22"/>
    </row>
    <row r="129" spans="1:25" x14ac:dyDescent="0.25">
      <c r="A129" s="16" t="s">
        <v>453</v>
      </c>
      <c r="B129" s="16" t="s">
        <v>456</v>
      </c>
      <c r="C129" s="16" t="s">
        <v>195</v>
      </c>
      <c r="D129" s="16" t="s">
        <v>457</v>
      </c>
      <c r="E129" s="16"/>
      <c r="F129" s="27"/>
      <c r="G129" s="27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2"/>
      <c r="V129" s="22"/>
      <c r="W129" s="22"/>
      <c r="X129" s="22"/>
      <c r="Y129" s="22"/>
    </row>
    <row r="130" spans="1:25" x14ac:dyDescent="0.25">
      <c r="A130" s="16" t="s">
        <v>455</v>
      </c>
      <c r="B130" s="16" t="s">
        <v>459</v>
      </c>
      <c r="C130" s="16" t="s">
        <v>195</v>
      </c>
      <c r="D130" s="16" t="s">
        <v>460</v>
      </c>
      <c r="E130" s="16"/>
      <c r="F130" s="27"/>
      <c r="G130" s="27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2"/>
      <c r="V130" s="22"/>
      <c r="W130" s="22"/>
      <c r="X130" s="22"/>
      <c r="Y130" s="22"/>
    </row>
    <row r="131" spans="1:25" x14ac:dyDescent="0.25">
      <c r="A131" s="16" t="s">
        <v>458</v>
      </c>
      <c r="B131" s="16" t="s">
        <v>462</v>
      </c>
      <c r="C131" s="16" t="s">
        <v>195</v>
      </c>
      <c r="D131" s="16" t="s">
        <v>463</v>
      </c>
      <c r="E131" s="16"/>
      <c r="F131" s="27"/>
      <c r="G131" s="27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2"/>
      <c r="V131" s="22"/>
      <c r="W131" s="22"/>
      <c r="X131" s="22"/>
      <c r="Y131" s="22"/>
    </row>
    <row r="132" spans="1:25" x14ac:dyDescent="0.25">
      <c r="A132" s="16" t="s">
        <v>461</v>
      </c>
      <c r="B132" s="16" t="s">
        <v>465</v>
      </c>
      <c r="C132" s="16" t="s">
        <v>195</v>
      </c>
      <c r="D132" s="16" t="s">
        <v>466</v>
      </c>
      <c r="E132" s="16"/>
      <c r="F132" s="27"/>
      <c r="G132" s="27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2"/>
      <c r="V132" s="22"/>
      <c r="W132" s="22"/>
      <c r="X132" s="22"/>
      <c r="Y132" s="22"/>
    </row>
    <row r="133" spans="1:25" x14ac:dyDescent="0.25">
      <c r="A133" s="16" t="s">
        <v>464</v>
      </c>
      <c r="B133" s="16" t="s">
        <v>468</v>
      </c>
      <c r="C133" s="16" t="s">
        <v>195</v>
      </c>
      <c r="D133" s="16" t="s">
        <v>469</v>
      </c>
      <c r="E133" s="16"/>
      <c r="F133" s="27">
        <f t="shared" ref="F133:F145" si="8">SUM(H133:S133)</f>
        <v>0</v>
      </c>
      <c r="G133" s="27">
        <f t="shared" ref="G133:G145" si="9">F133+SUM(H133:S133)</f>
        <v>0</v>
      </c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>
        <f t="shared" ref="T133:T146" si="10">G133</f>
        <v>0</v>
      </c>
      <c r="U133" s="22"/>
      <c r="V133" s="22"/>
      <c r="W133" s="22"/>
      <c r="X133" s="22"/>
      <c r="Y133" s="22"/>
    </row>
    <row r="134" spans="1:25" x14ac:dyDescent="0.25">
      <c r="A134" s="16" t="s">
        <v>467</v>
      </c>
      <c r="B134" s="16" t="s">
        <v>471</v>
      </c>
      <c r="C134" s="16" t="s">
        <v>195</v>
      </c>
      <c r="D134" s="16" t="s">
        <v>472</v>
      </c>
      <c r="E134" s="16"/>
      <c r="F134" s="27">
        <f t="shared" si="8"/>
        <v>0</v>
      </c>
      <c r="G134" s="27">
        <f t="shared" si="9"/>
        <v>0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>
        <f t="shared" si="10"/>
        <v>0</v>
      </c>
      <c r="U134" s="22"/>
      <c r="V134" s="22"/>
      <c r="W134" s="22"/>
      <c r="X134" s="22"/>
      <c r="Y134" s="22"/>
    </row>
    <row r="135" spans="1:25" x14ac:dyDescent="0.25">
      <c r="A135" s="16" t="s">
        <v>470</v>
      </c>
      <c r="B135" s="16" t="s">
        <v>474</v>
      </c>
      <c r="C135" s="16" t="s">
        <v>195</v>
      </c>
      <c r="D135" s="16" t="s">
        <v>475</v>
      </c>
      <c r="E135" s="16"/>
      <c r="F135" s="27">
        <f t="shared" si="8"/>
        <v>0</v>
      </c>
      <c r="G135" s="27">
        <f t="shared" si="9"/>
        <v>0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>
        <f t="shared" si="10"/>
        <v>0</v>
      </c>
      <c r="U135" s="22"/>
      <c r="V135" s="22"/>
      <c r="W135" s="22"/>
      <c r="X135" s="22"/>
      <c r="Y135" s="22"/>
    </row>
    <row r="136" spans="1:25" x14ac:dyDescent="0.25">
      <c r="A136" s="16" t="s">
        <v>473</v>
      </c>
      <c r="B136" s="16" t="s">
        <v>476</v>
      </c>
      <c r="C136" s="16" t="s">
        <v>195</v>
      </c>
      <c r="D136" s="16" t="s">
        <v>477</v>
      </c>
      <c r="E136" s="16"/>
      <c r="F136" s="27">
        <f t="shared" si="8"/>
        <v>0</v>
      </c>
      <c r="G136" s="27">
        <f t="shared" si="9"/>
        <v>0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>
        <f t="shared" si="10"/>
        <v>0</v>
      </c>
      <c r="U136" s="22"/>
      <c r="V136" s="22"/>
      <c r="W136" s="22"/>
      <c r="X136" s="22"/>
      <c r="Y136" s="22"/>
    </row>
    <row r="137" spans="1:25" x14ac:dyDescent="0.25">
      <c r="A137" s="16"/>
      <c r="B137" s="16"/>
      <c r="C137" s="16"/>
      <c r="D137" s="16"/>
      <c r="E137" s="16"/>
      <c r="F137" s="27">
        <f t="shared" si="8"/>
        <v>0</v>
      </c>
      <c r="G137" s="27">
        <f t="shared" si="9"/>
        <v>0</v>
      </c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>
        <f t="shared" si="10"/>
        <v>0</v>
      </c>
      <c r="U137" s="22"/>
      <c r="V137" s="22"/>
      <c r="W137" s="22"/>
      <c r="X137" s="22"/>
      <c r="Y137" s="22"/>
    </row>
    <row r="138" spans="1:25" x14ac:dyDescent="0.25">
      <c r="A138" s="16"/>
      <c r="B138" s="16"/>
      <c r="C138" s="16"/>
      <c r="D138" s="16"/>
      <c r="E138" s="16"/>
      <c r="F138" s="27">
        <f t="shared" si="8"/>
        <v>0</v>
      </c>
      <c r="G138" s="27">
        <f t="shared" si="9"/>
        <v>0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>
        <f t="shared" si="10"/>
        <v>0</v>
      </c>
      <c r="U138" s="22"/>
      <c r="V138" s="22"/>
      <c r="W138" s="22"/>
      <c r="X138" s="22"/>
      <c r="Y138" s="22"/>
    </row>
    <row r="139" spans="1:25" x14ac:dyDescent="0.25">
      <c r="A139" s="16"/>
      <c r="B139" s="16"/>
      <c r="C139" s="16"/>
      <c r="D139" s="16"/>
      <c r="E139" s="16"/>
      <c r="F139" s="27">
        <f t="shared" si="8"/>
        <v>0</v>
      </c>
      <c r="G139" s="27">
        <f t="shared" si="9"/>
        <v>0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>
        <f t="shared" si="10"/>
        <v>0</v>
      </c>
      <c r="U139" s="22"/>
      <c r="V139" s="22"/>
      <c r="W139" s="22"/>
      <c r="X139" s="22"/>
      <c r="Y139" s="22"/>
    </row>
    <row r="140" spans="1:25" x14ac:dyDescent="0.25">
      <c r="A140" s="16"/>
      <c r="B140" s="16"/>
      <c r="C140" s="16"/>
      <c r="D140" s="16"/>
      <c r="E140" s="16"/>
      <c r="F140" s="27">
        <f t="shared" si="8"/>
        <v>0</v>
      </c>
      <c r="G140" s="27">
        <f t="shared" si="9"/>
        <v>0</v>
      </c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>
        <f t="shared" si="10"/>
        <v>0</v>
      </c>
      <c r="U140" s="22"/>
      <c r="V140" s="22"/>
      <c r="W140" s="22"/>
      <c r="X140" s="22"/>
      <c r="Y140" s="22"/>
    </row>
    <row r="141" spans="1:25" x14ac:dyDescent="0.25">
      <c r="A141" s="16"/>
      <c r="B141" s="16"/>
      <c r="C141" s="16"/>
      <c r="D141" s="16"/>
      <c r="E141" s="16"/>
      <c r="F141" s="27">
        <f t="shared" si="8"/>
        <v>0</v>
      </c>
      <c r="G141" s="27">
        <f t="shared" si="9"/>
        <v>0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>
        <f t="shared" si="10"/>
        <v>0</v>
      </c>
      <c r="U141" s="22"/>
      <c r="V141" s="22"/>
      <c r="W141" s="22"/>
      <c r="X141" s="22"/>
      <c r="Y141" s="22"/>
    </row>
    <row r="142" spans="1:25" x14ac:dyDescent="0.25">
      <c r="A142" s="16"/>
      <c r="B142" s="16"/>
      <c r="C142" s="16"/>
      <c r="D142" s="16"/>
      <c r="E142" s="16"/>
      <c r="F142" s="27">
        <f t="shared" si="8"/>
        <v>0</v>
      </c>
      <c r="G142" s="27">
        <f t="shared" si="9"/>
        <v>0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>
        <f t="shared" si="10"/>
        <v>0</v>
      </c>
      <c r="U142" s="22"/>
      <c r="V142" s="22"/>
      <c r="W142" s="22"/>
      <c r="X142" s="22"/>
      <c r="Y142" s="22"/>
    </row>
    <row r="143" spans="1:25" x14ac:dyDescent="0.25">
      <c r="A143" s="16"/>
      <c r="B143" s="16"/>
      <c r="C143" s="16"/>
      <c r="D143" s="16"/>
      <c r="E143" s="16"/>
      <c r="F143" s="27">
        <f t="shared" si="8"/>
        <v>0</v>
      </c>
      <c r="G143" s="27">
        <f t="shared" si="9"/>
        <v>0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>
        <f t="shared" si="10"/>
        <v>0</v>
      </c>
      <c r="U143" s="22"/>
      <c r="V143" s="22"/>
      <c r="W143" s="22"/>
      <c r="X143" s="22"/>
      <c r="Y143" s="22"/>
    </row>
    <row r="144" spans="1:25" x14ac:dyDescent="0.25">
      <c r="A144" s="16"/>
      <c r="B144" s="16"/>
      <c r="C144" s="16"/>
      <c r="D144" s="16"/>
      <c r="E144" s="16"/>
      <c r="F144" s="27">
        <f t="shared" si="8"/>
        <v>0</v>
      </c>
      <c r="G144" s="27">
        <f t="shared" si="9"/>
        <v>0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>
        <f t="shared" si="10"/>
        <v>0</v>
      </c>
      <c r="U144" s="22"/>
      <c r="V144" s="22"/>
      <c r="W144" s="22"/>
      <c r="X144" s="22"/>
      <c r="Y144" s="22"/>
    </row>
    <row r="145" spans="1:25" x14ac:dyDescent="0.25">
      <c r="A145" s="16"/>
      <c r="B145" s="16"/>
      <c r="C145" s="16"/>
      <c r="D145" s="16"/>
      <c r="E145" s="16"/>
      <c r="F145" s="27">
        <f t="shared" si="8"/>
        <v>0</v>
      </c>
      <c r="G145" s="27">
        <f t="shared" si="9"/>
        <v>0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>
        <f t="shared" si="10"/>
        <v>0</v>
      </c>
      <c r="U145" s="22"/>
      <c r="V145" s="22"/>
      <c r="W145" s="22"/>
      <c r="X145" s="22"/>
      <c r="Y145" s="22"/>
    </row>
    <row r="146" spans="1:25" x14ac:dyDescent="0.25">
      <c r="H146" s="22">
        <f t="shared" ref="H146:O146" si="11">SUM(H2:H145)</f>
        <v>800000</v>
      </c>
      <c r="I146" s="22">
        <f t="shared" si="11"/>
        <v>550000</v>
      </c>
      <c r="J146" s="22">
        <f t="shared" si="11"/>
        <v>50000</v>
      </c>
      <c r="K146" s="22">
        <f t="shared" si="11"/>
        <v>0</v>
      </c>
      <c r="L146" s="22">
        <f t="shared" si="11"/>
        <v>100000</v>
      </c>
      <c r="M146" s="22">
        <f t="shared" si="11"/>
        <v>0</v>
      </c>
      <c r="N146" s="22">
        <f t="shared" si="11"/>
        <v>0</v>
      </c>
      <c r="O146" s="22">
        <f t="shared" si="11"/>
        <v>0</v>
      </c>
      <c r="P146" s="22"/>
      <c r="Q146" s="22"/>
      <c r="R146" s="22">
        <f>SUM(R2:R145)</f>
        <v>0</v>
      </c>
      <c r="S146" s="22">
        <f>SUM(S2:S145)</f>
        <v>0</v>
      </c>
      <c r="T146" s="28">
        <f t="shared" si="10"/>
        <v>0</v>
      </c>
      <c r="U146" s="22"/>
      <c r="V146" s="22"/>
      <c r="W146" s="22"/>
      <c r="X146" s="22"/>
      <c r="Y146" s="22"/>
    </row>
    <row r="147" spans="1:25" x14ac:dyDescent="0.25"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8">
        <f t="shared" ref="T147:T161" si="12">G147</f>
        <v>0</v>
      </c>
      <c r="U147" s="22"/>
      <c r="V147" s="22"/>
      <c r="W147" s="22"/>
      <c r="X147" s="22"/>
      <c r="Y147" s="22"/>
    </row>
    <row r="148" spans="1:25" x14ac:dyDescent="0.25">
      <c r="I148" s="22"/>
      <c r="J148" s="22"/>
      <c r="K148" s="22"/>
      <c r="L148" s="22"/>
      <c r="M148" s="22"/>
      <c r="N148" s="22"/>
      <c r="O148" s="22" t="s">
        <v>478</v>
      </c>
      <c r="P148" s="22"/>
      <c r="Q148" s="22"/>
      <c r="R148" s="22"/>
      <c r="S148" s="22"/>
      <c r="T148" s="28">
        <f t="shared" si="12"/>
        <v>0</v>
      </c>
      <c r="U148" s="22"/>
      <c r="V148" s="22"/>
      <c r="W148" s="22"/>
      <c r="X148" s="22"/>
      <c r="Y148" s="22"/>
    </row>
    <row r="149" spans="1:25" x14ac:dyDescent="0.25"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8">
        <f t="shared" si="12"/>
        <v>0</v>
      </c>
      <c r="U149" s="22"/>
      <c r="V149" s="22"/>
      <c r="W149" s="22"/>
      <c r="X149" s="22"/>
      <c r="Y149" s="22"/>
    </row>
    <row r="150" spans="1:25" x14ac:dyDescent="0.25"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8">
        <f t="shared" si="12"/>
        <v>0</v>
      </c>
      <c r="U150" s="22"/>
      <c r="V150" s="22"/>
      <c r="W150" s="22"/>
      <c r="X150" s="22"/>
      <c r="Y150" s="22"/>
    </row>
    <row r="151" spans="1:25" x14ac:dyDescent="0.25">
      <c r="T151" s="28">
        <f t="shared" si="12"/>
        <v>0</v>
      </c>
    </row>
    <row r="152" spans="1:25" x14ac:dyDescent="0.25">
      <c r="T152" s="28">
        <f t="shared" si="12"/>
        <v>0</v>
      </c>
    </row>
    <row r="153" spans="1:25" x14ac:dyDescent="0.25">
      <c r="T153" s="28">
        <f t="shared" si="12"/>
        <v>0</v>
      </c>
    </row>
    <row r="154" spans="1:25" x14ac:dyDescent="0.25">
      <c r="T154" s="28">
        <f t="shared" si="12"/>
        <v>0</v>
      </c>
    </row>
    <row r="155" spans="1:25" x14ac:dyDescent="0.25">
      <c r="T155" s="28">
        <f t="shared" si="12"/>
        <v>0</v>
      </c>
    </row>
    <row r="156" spans="1:25" x14ac:dyDescent="0.25">
      <c r="T156" s="28">
        <f t="shared" si="12"/>
        <v>0</v>
      </c>
    </row>
    <row r="157" spans="1:25" x14ac:dyDescent="0.25">
      <c r="T157" s="28">
        <f t="shared" si="12"/>
        <v>0</v>
      </c>
    </row>
    <row r="158" spans="1:25" x14ac:dyDescent="0.25">
      <c r="T158" s="28">
        <f t="shared" si="12"/>
        <v>0</v>
      </c>
    </row>
    <row r="159" spans="1:25" x14ac:dyDescent="0.25">
      <c r="T159" s="28">
        <f t="shared" si="12"/>
        <v>0</v>
      </c>
    </row>
    <row r="160" spans="1:25" x14ac:dyDescent="0.25">
      <c r="T160" s="28">
        <f t="shared" si="12"/>
        <v>0</v>
      </c>
    </row>
    <row r="161" spans="20:20" x14ac:dyDescent="0.25">
      <c r="T161" s="28">
        <f t="shared" si="12"/>
        <v>0</v>
      </c>
    </row>
  </sheetData>
  <conditionalFormatting sqref="F2:G145">
    <cfRule type="cellIs" dxfId="17" priority="1" operator="greaterThanOrEqual">
      <formula>500000</formula>
    </cfRule>
  </conditionalFormatting>
  <pageMargins left="0.23622047244094491" right="0.23622047244094491" top="0.74803149606299213" bottom="0.74803149606299213" header="0.31496062992125978" footer="0.31496062992125978"/>
  <pageSetup paperSize="9" scale="80" orientation="landscape" blackAndWhite="1"/>
  <rowBreaks count="3" manualBreakCount="3">
    <brk id="52" max="12" man="1"/>
    <brk id="107" max="12" man="1"/>
    <brk id="115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49"/>
  <sheetViews>
    <sheetView view="pageBreakPreview" zoomScaleNormal="100" zoomScaleSheetLayoutView="100" workbookViewId="0">
      <pane xSplit="1" ySplit="2" topLeftCell="B29" activePane="bottomRight" state="frozen"/>
      <selection pane="topRight" activeCell="B1" sqref="B1"/>
      <selection pane="bottomLeft" activeCell="A5" sqref="A5"/>
      <selection pane="bottomRight" activeCell="F41" sqref="F41"/>
    </sheetView>
  </sheetViews>
  <sheetFormatPr defaultRowHeight="15" x14ac:dyDescent="0.25"/>
  <cols>
    <col min="2" max="2" width="23.5703125" style="20" bestFit="1" customWidth="1"/>
    <col min="5" max="5" width="13.140625" style="20" bestFit="1" customWidth="1"/>
    <col min="6" max="6" width="12.85546875" style="22" customWidth="1"/>
    <col min="7" max="14" width="12.85546875" style="20" customWidth="1"/>
    <col min="15" max="16" width="12.85546875" style="46" customWidth="1"/>
    <col min="17" max="18" width="12.85546875" style="20" customWidth="1"/>
    <col min="23" max="23" width="11.5703125" style="20" bestFit="1" customWidth="1"/>
  </cols>
  <sheetData>
    <row r="1" spans="1:23" ht="1.5" customHeight="1" x14ac:dyDescent="0.25"/>
    <row r="2" spans="1:23" ht="29.25" customHeight="1" x14ac:dyDescent="0.25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8" t="s">
        <v>9</v>
      </c>
      <c r="G2" s="24" t="s">
        <v>10</v>
      </c>
      <c r="H2" s="24" t="s">
        <v>11</v>
      </c>
      <c r="I2" s="24" t="s">
        <v>12</v>
      </c>
      <c r="J2" s="24" t="s">
        <v>13</v>
      </c>
      <c r="K2" s="24" t="s">
        <v>14</v>
      </c>
      <c r="L2" s="24" t="s">
        <v>15</v>
      </c>
      <c r="M2" s="24" t="s">
        <v>16</v>
      </c>
      <c r="N2" s="24" t="s">
        <v>17</v>
      </c>
      <c r="O2" s="24" t="s">
        <v>18</v>
      </c>
      <c r="P2" s="24" t="s">
        <v>19</v>
      </c>
      <c r="Q2" s="24" t="s">
        <v>20</v>
      </c>
      <c r="R2" s="26" t="s">
        <v>21</v>
      </c>
    </row>
    <row r="3" spans="1:23" x14ac:dyDescent="0.25">
      <c r="A3" s="16" t="s">
        <v>22</v>
      </c>
      <c r="B3" s="16" t="s">
        <v>23</v>
      </c>
      <c r="C3" s="16" t="s">
        <v>24</v>
      </c>
      <c r="D3" s="16" t="s">
        <v>25</v>
      </c>
      <c r="E3" s="17" t="s">
        <v>26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>
        <f t="shared" ref="R3:R34" si="0">SUM(F3:Q3)</f>
        <v>0</v>
      </c>
      <c r="S3" s="22"/>
      <c r="T3" s="22"/>
      <c r="U3" s="22"/>
      <c r="V3" s="22"/>
      <c r="W3" s="22"/>
    </row>
    <row r="4" spans="1:23" x14ac:dyDescent="0.25">
      <c r="A4" s="16" t="s">
        <v>27</v>
      </c>
      <c r="B4" s="16" t="s">
        <v>28</v>
      </c>
      <c r="C4" s="16" t="s">
        <v>24</v>
      </c>
      <c r="D4" s="16" t="s">
        <v>29</v>
      </c>
      <c r="E4" s="16"/>
      <c r="F4" s="28">
        <v>10000</v>
      </c>
      <c r="G4" s="28">
        <v>10000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>
        <f t="shared" si="0"/>
        <v>20000</v>
      </c>
      <c r="S4" s="22"/>
      <c r="T4" s="22"/>
      <c r="U4" s="22"/>
      <c r="V4" s="22"/>
      <c r="W4" s="22"/>
    </row>
    <row r="5" spans="1:23" x14ac:dyDescent="0.25">
      <c r="A5" s="16" t="s">
        <v>30</v>
      </c>
      <c r="B5" s="16" t="s">
        <v>31</v>
      </c>
      <c r="C5" s="16" t="s">
        <v>24</v>
      </c>
      <c r="D5" s="16" t="s">
        <v>32</v>
      </c>
      <c r="E5" s="17" t="s">
        <v>33</v>
      </c>
      <c r="F5" s="28">
        <v>10000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>
        <f t="shared" si="0"/>
        <v>10000</v>
      </c>
      <c r="S5" s="22"/>
      <c r="T5" s="22"/>
      <c r="U5" s="22"/>
      <c r="V5" s="22"/>
      <c r="W5" s="22"/>
    </row>
    <row r="6" spans="1:23" x14ac:dyDescent="0.25">
      <c r="A6" s="16" t="s">
        <v>34</v>
      </c>
      <c r="B6" s="16" t="s">
        <v>539</v>
      </c>
      <c r="C6" s="16" t="s">
        <v>24</v>
      </c>
      <c r="D6" s="16" t="s">
        <v>36</v>
      </c>
      <c r="E6" s="16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>
        <f t="shared" si="0"/>
        <v>0</v>
      </c>
      <c r="S6" s="22"/>
      <c r="T6" s="22"/>
      <c r="U6" s="22"/>
      <c r="V6" s="22"/>
      <c r="W6" s="22"/>
    </row>
    <row r="7" spans="1:23" x14ac:dyDescent="0.25">
      <c r="A7" s="16" t="s">
        <v>37</v>
      </c>
      <c r="B7" s="16" t="s">
        <v>38</v>
      </c>
      <c r="C7" s="16" t="s">
        <v>24</v>
      </c>
      <c r="D7" s="16" t="s">
        <v>39</v>
      </c>
      <c r="E7" s="17" t="s">
        <v>40</v>
      </c>
      <c r="F7" s="28">
        <v>10000</v>
      </c>
      <c r="G7" s="28">
        <v>10000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>
        <f t="shared" si="0"/>
        <v>20000</v>
      </c>
      <c r="S7" s="22"/>
      <c r="T7" s="22"/>
      <c r="U7" s="22"/>
      <c r="V7" s="22"/>
      <c r="W7" s="22"/>
    </row>
    <row r="8" spans="1:23" x14ac:dyDescent="0.25">
      <c r="A8" s="16" t="s">
        <v>41</v>
      </c>
      <c r="B8" s="16" t="s">
        <v>42</v>
      </c>
      <c r="C8" s="16" t="s">
        <v>24</v>
      </c>
      <c r="D8" s="16" t="s">
        <v>43</v>
      </c>
      <c r="E8" s="17" t="s">
        <v>44</v>
      </c>
      <c r="F8" s="28">
        <v>10000</v>
      </c>
      <c r="G8" s="28">
        <v>10000</v>
      </c>
      <c r="H8" s="28">
        <v>10000</v>
      </c>
      <c r="I8" s="28">
        <v>10000</v>
      </c>
      <c r="J8" s="28"/>
      <c r="K8" s="28"/>
      <c r="L8" s="28"/>
      <c r="M8" s="28"/>
      <c r="N8" s="28"/>
      <c r="O8" s="28"/>
      <c r="P8" s="28"/>
      <c r="Q8" s="28"/>
      <c r="R8" s="28">
        <f t="shared" si="0"/>
        <v>40000</v>
      </c>
      <c r="S8" s="22"/>
      <c r="T8" s="22"/>
      <c r="U8" s="22"/>
      <c r="V8" s="22"/>
      <c r="W8" s="22"/>
    </row>
    <row r="9" spans="1:23" x14ac:dyDescent="0.25">
      <c r="A9" s="16" t="s">
        <v>45</v>
      </c>
      <c r="B9" s="16" t="s">
        <v>46</v>
      </c>
      <c r="C9" s="16" t="s">
        <v>24</v>
      </c>
      <c r="D9" s="16" t="s">
        <v>47</v>
      </c>
      <c r="E9" s="17" t="s">
        <v>48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>
        <f t="shared" si="0"/>
        <v>0</v>
      </c>
      <c r="S9" s="22"/>
      <c r="T9" s="22"/>
      <c r="U9" s="22"/>
      <c r="V9" s="22"/>
      <c r="W9" s="22"/>
    </row>
    <row r="10" spans="1:23" x14ac:dyDescent="0.25">
      <c r="A10" s="16" t="s">
        <v>49</v>
      </c>
      <c r="B10" s="16" t="s">
        <v>50</v>
      </c>
      <c r="C10" s="16" t="s">
        <v>24</v>
      </c>
      <c r="D10" s="16" t="s">
        <v>51</v>
      </c>
      <c r="E10" s="17" t="s">
        <v>52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>
        <f t="shared" si="0"/>
        <v>0</v>
      </c>
      <c r="S10" s="22"/>
      <c r="T10" s="22"/>
      <c r="U10" s="22"/>
      <c r="V10" s="22"/>
      <c r="W10" s="22"/>
    </row>
    <row r="11" spans="1:23" x14ac:dyDescent="0.25">
      <c r="A11" s="16" t="s">
        <v>53</v>
      </c>
      <c r="B11" s="16" t="s">
        <v>54</v>
      </c>
      <c r="C11" s="16" t="s">
        <v>24</v>
      </c>
      <c r="D11" s="16" t="s">
        <v>55</v>
      </c>
      <c r="E11" s="16"/>
      <c r="F11" s="28">
        <v>10000</v>
      </c>
      <c r="G11" s="28">
        <v>10000</v>
      </c>
      <c r="H11" s="28">
        <v>10000</v>
      </c>
      <c r="I11" s="28">
        <v>10000</v>
      </c>
      <c r="J11" s="28">
        <v>10000</v>
      </c>
      <c r="K11" s="28"/>
      <c r="L11" s="28"/>
      <c r="M11" s="28"/>
      <c r="N11" s="28"/>
      <c r="O11" s="28"/>
      <c r="P11" s="28"/>
      <c r="Q11" s="28"/>
      <c r="R11" s="28">
        <f t="shared" si="0"/>
        <v>50000</v>
      </c>
      <c r="S11" s="22"/>
      <c r="T11" s="22"/>
      <c r="U11" s="22"/>
      <c r="V11" s="22"/>
      <c r="W11" s="22"/>
    </row>
    <row r="12" spans="1:23" x14ac:dyDescent="0.25">
      <c r="A12" s="16" t="s">
        <v>56</v>
      </c>
      <c r="B12" s="16" t="s">
        <v>57</v>
      </c>
      <c r="C12" s="16" t="s">
        <v>24</v>
      </c>
      <c r="D12" s="16" t="s">
        <v>58</v>
      </c>
      <c r="E12" s="16"/>
      <c r="F12" s="28">
        <v>10000</v>
      </c>
      <c r="G12" s="28">
        <v>10000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>
        <f t="shared" si="0"/>
        <v>20000</v>
      </c>
      <c r="S12" s="22"/>
      <c r="T12" s="22"/>
      <c r="U12" s="22"/>
      <c r="V12" s="22"/>
      <c r="W12" s="22"/>
    </row>
    <row r="13" spans="1:23" x14ac:dyDescent="0.25">
      <c r="A13" s="16" t="s">
        <v>59</v>
      </c>
      <c r="B13" s="16" t="s">
        <v>60</v>
      </c>
      <c r="C13" s="16" t="s">
        <v>24</v>
      </c>
      <c r="D13" s="16" t="s">
        <v>61</v>
      </c>
      <c r="E13" s="17" t="s">
        <v>62</v>
      </c>
      <c r="F13" s="28">
        <v>10000</v>
      </c>
      <c r="G13" s="28">
        <v>10000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>
        <f t="shared" si="0"/>
        <v>20000</v>
      </c>
      <c r="S13" s="22"/>
      <c r="T13" s="22"/>
      <c r="U13" s="22"/>
      <c r="V13" s="22"/>
      <c r="W13" s="22"/>
    </row>
    <row r="14" spans="1:23" x14ac:dyDescent="0.25">
      <c r="A14" s="16" t="s">
        <v>63</v>
      </c>
      <c r="B14" s="16" t="s">
        <v>64</v>
      </c>
      <c r="C14" s="16" t="s">
        <v>24</v>
      </c>
      <c r="D14" s="16" t="s">
        <v>65</v>
      </c>
      <c r="E14" s="17" t="s">
        <v>66</v>
      </c>
      <c r="F14" s="28">
        <v>10000</v>
      </c>
      <c r="G14" s="28">
        <v>10000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>
        <f t="shared" si="0"/>
        <v>20000</v>
      </c>
      <c r="S14" s="22"/>
      <c r="T14" s="22"/>
      <c r="U14" s="22"/>
      <c r="V14" s="22"/>
      <c r="W14" s="22"/>
    </row>
    <row r="15" spans="1:23" x14ac:dyDescent="0.25">
      <c r="A15" s="16" t="s">
        <v>67</v>
      </c>
      <c r="B15" s="16" t="s">
        <v>68</v>
      </c>
      <c r="C15" s="16" t="s">
        <v>24</v>
      </c>
      <c r="D15" s="16" t="s">
        <v>69</v>
      </c>
      <c r="E15" s="17" t="s">
        <v>70</v>
      </c>
      <c r="F15" s="28">
        <v>10000</v>
      </c>
      <c r="G15" s="28">
        <v>10000</v>
      </c>
      <c r="H15" s="28"/>
      <c r="I15" s="28">
        <v>10000</v>
      </c>
      <c r="J15" s="28">
        <v>10000</v>
      </c>
      <c r="K15" s="28"/>
      <c r="L15" s="28"/>
      <c r="M15" s="28"/>
      <c r="N15" s="28"/>
      <c r="O15" s="28"/>
      <c r="P15" s="28"/>
      <c r="Q15" s="28"/>
      <c r="R15" s="28">
        <f t="shared" si="0"/>
        <v>40000</v>
      </c>
      <c r="S15" s="22"/>
      <c r="T15" s="22"/>
      <c r="U15" s="22"/>
      <c r="V15" s="22"/>
      <c r="W15" s="22"/>
    </row>
    <row r="16" spans="1:23" x14ac:dyDescent="0.25">
      <c r="A16" s="16" t="s">
        <v>71</v>
      </c>
      <c r="B16" s="16" t="s">
        <v>72</v>
      </c>
      <c r="C16" s="16" t="s">
        <v>24</v>
      </c>
      <c r="D16" s="16" t="s">
        <v>73</v>
      </c>
      <c r="E16" s="16"/>
      <c r="F16" s="28">
        <v>10000</v>
      </c>
      <c r="G16" s="28">
        <v>10000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>
        <f t="shared" si="0"/>
        <v>20000</v>
      </c>
      <c r="S16" s="22"/>
      <c r="T16" s="22"/>
      <c r="U16" s="22"/>
      <c r="V16" s="22"/>
      <c r="W16" s="22"/>
    </row>
    <row r="17" spans="1:23" x14ac:dyDescent="0.25">
      <c r="A17" s="16" t="s">
        <v>74</v>
      </c>
      <c r="B17" s="16" t="s">
        <v>75</v>
      </c>
      <c r="C17" s="16" t="s">
        <v>24</v>
      </c>
      <c r="D17" s="16" t="s">
        <v>76</v>
      </c>
      <c r="E17" s="16"/>
      <c r="F17" s="28">
        <v>10000</v>
      </c>
      <c r="G17" s="28">
        <v>10000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>
        <f t="shared" si="0"/>
        <v>20000</v>
      </c>
      <c r="S17" s="22"/>
      <c r="T17" s="22"/>
      <c r="U17" s="22"/>
      <c r="V17" s="22"/>
      <c r="W17" s="22"/>
    </row>
    <row r="18" spans="1:23" x14ac:dyDescent="0.25">
      <c r="A18" s="16" t="s">
        <v>77</v>
      </c>
      <c r="B18" s="16" t="s">
        <v>78</v>
      </c>
      <c r="C18" s="16" t="s">
        <v>24</v>
      </c>
      <c r="D18" s="16" t="s">
        <v>79</v>
      </c>
      <c r="E18" s="1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>
        <f t="shared" si="0"/>
        <v>0</v>
      </c>
      <c r="S18" s="22"/>
      <c r="T18" s="22"/>
      <c r="U18" s="22"/>
      <c r="V18" s="22"/>
      <c r="W18" s="22"/>
    </row>
    <row r="19" spans="1:23" x14ac:dyDescent="0.25">
      <c r="A19" s="16" t="s">
        <v>80</v>
      </c>
      <c r="B19" s="16" t="s">
        <v>81</v>
      </c>
      <c r="C19" s="16" t="s">
        <v>24</v>
      </c>
      <c r="D19" s="16" t="s">
        <v>82</v>
      </c>
      <c r="E19" s="1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>
        <f t="shared" si="0"/>
        <v>0</v>
      </c>
      <c r="S19" s="22"/>
      <c r="T19" s="22"/>
      <c r="U19" s="22"/>
      <c r="V19" s="22"/>
      <c r="W19" s="22"/>
    </row>
    <row r="20" spans="1:23" x14ac:dyDescent="0.25">
      <c r="A20" s="16" t="s">
        <v>83</v>
      </c>
      <c r="B20" s="16" t="s">
        <v>84</v>
      </c>
      <c r="C20" s="16" t="s">
        <v>24</v>
      </c>
      <c r="D20" s="16" t="s">
        <v>85</v>
      </c>
      <c r="E20" s="17" t="s">
        <v>86</v>
      </c>
      <c r="F20" s="28">
        <v>10000</v>
      </c>
      <c r="G20" s="28">
        <v>10000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>
        <f t="shared" si="0"/>
        <v>20000</v>
      </c>
      <c r="S20" s="22"/>
      <c r="T20" s="22"/>
      <c r="U20" s="22"/>
      <c r="V20" s="22"/>
      <c r="W20" s="22"/>
    </row>
    <row r="21" spans="1:23" x14ac:dyDescent="0.25">
      <c r="A21" s="16" t="s">
        <v>87</v>
      </c>
      <c r="B21" s="16" t="s">
        <v>88</v>
      </c>
      <c r="C21" s="16" t="s">
        <v>24</v>
      </c>
      <c r="D21" s="16" t="s">
        <v>89</v>
      </c>
      <c r="E21" s="17" t="s">
        <v>90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>
        <f t="shared" si="0"/>
        <v>0</v>
      </c>
      <c r="S21" s="22"/>
      <c r="T21" s="22"/>
      <c r="U21" s="22"/>
      <c r="V21" s="22"/>
      <c r="W21" s="22"/>
    </row>
    <row r="22" spans="1:23" x14ac:dyDescent="0.25">
      <c r="A22" s="16" t="s">
        <v>91</v>
      </c>
      <c r="B22" s="16" t="s">
        <v>540</v>
      </c>
      <c r="C22" s="16" t="s">
        <v>24</v>
      </c>
      <c r="D22" s="16" t="s">
        <v>93</v>
      </c>
      <c r="E22" s="17" t="s">
        <v>94</v>
      </c>
      <c r="F22" s="28">
        <v>10000</v>
      </c>
      <c r="G22" s="28">
        <v>10000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>
        <f t="shared" si="0"/>
        <v>20000</v>
      </c>
      <c r="S22" s="22"/>
      <c r="T22" s="22"/>
      <c r="U22" s="22"/>
      <c r="V22" s="22"/>
      <c r="W22" s="22"/>
    </row>
    <row r="23" spans="1:23" x14ac:dyDescent="0.25">
      <c r="A23" s="16" t="s">
        <v>95</v>
      </c>
      <c r="B23" s="16" t="s">
        <v>96</v>
      </c>
      <c r="C23" s="16" t="s">
        <v>24</v>
      </c>
      <c r="D23" s="16" t="s">
        <v>97</v>
      </c>
      <c r="E23" s="17" t="s">
        <v>98</v>
      </c>
      <c r="F23" s="28">
        <v>10000</v>
      </c>
      <c r="G23" s="28">
        <v>10000</v>
      </c>
      <c r="H23" s="28">
        <v>10000</v>
      </c>
      <c r="I23" s="28">
        <v>10000</v>
      </c>
      <c r="J23" s="28">
        <v>10000</v>
      </c>
      <c r="K23" s="28">
        <v>10000</v>
      </c>
      <c r="L23" s="28">
        <v>10000</v>
      </c>
      <c r="M23" s="28"/>
      <c r="N23" s="28"/>
      <c r="O23" s="28"/>
      <c r="P23" s="28"/>
      <c r="Q23" s="28"/>
      <c r="R23" s="28">
        <f t="shared" si="0"/>
        <v>70000</v>
      </c>
      <c r="S23" s="22"/>
      <c r="T23" s="22"/>
      <c r="U23" s="22"/>
      <c r="V23" s="22"/>
      <c r="W23" s="22"/>
    </row>
    <row r="24" spans="1:23" x14ac:dyDescent="0.25">
      <c r="A24" s="16" t="s">
        <v>99</v>
      </c>
      <c r="B24" s="16" t="s">
        <v>100</v>
      </c>
      <c r="C24" s="16" t="s">
        <v>24</v>
      </c>
      <c r="D24" s="16" t="s">
        <v>101</v>
      </c>
      <c r="E24" s="17" t="s">
        <v>102</v>
      </c>
      <c r="F24" s="28">
        <v>10000</v>
      </c>
      <c r="G24" s="28">
        <v>10000</v>
      </c>
      <c r="H24" s="28">
        <v>10000</v>
      </c>
      <c r="I24" s="28">
        <v>10000</v>
      </c>
      <c r="J24" s="28">
        <v>10000</v>
      </c>
      <c r="K24" s="28"/>
      <c r="L24" s="28"/>
      <c r="M24" s="28"/>
      <c r="N24" s="28"/>
      <c r="O24" s="28"/>
      <c r="P24" s="28"/>
      <c r="Q24" s="28"/>
      <c r="R24" s="28">
        <f t="shared" si="0"/>
        <v>50000</v>
      </c>
      <c r="S24" s="22"/>
      <c r="T24" s="22"/>
      <c r="U24" s="22"/>
      <c r="V24" s="22"/>
      <c r="W24" s="22"/>
    </row>
    <row r="25" spans="1:23" x14ac:dyDescent="0.25">
      <c r="A25" s="16" t="s">
        <v>103</v>
      </c>
      <c r="B25" s="16" t="s">
        <v>104</v>
      </c>
      <c r="C25" s="16" t="s">
        <v>24</v>
      </c>
      <c r="D25" s="16" t="s">
        <v>105</v>
      </c>
      <c r="E25" s="17" t="s">
        <v>106</v>
      </c>
      <c r="F25" s="28">
        <v>10000</v>
      </c>
      <c r="G25" s="28">
        <v>10000</v>
      </c>
      <c r="H25" s="28"/>
      <c r="I25" s="28">
        <v>10000</v>
      </c>
      <c r="J25" s="28">
        <v>10000</v>
      </c>
      <c r="K25" s="28"/>
      <c r="L25" s="28"/>
      <c r="M25" s="28"/>
      <c r="N25" s="28"/>
      <c r="O25" s="28"/>
      <c r="P25" s="28"/>
      <c r="Q25" s="28"/>
      <c r="R25" s="28">
        <f t="shared" si="0"/>
        <v>40000</v>
      </c>
      <c r="S25" s="22"/>
      <c r="T25" s="22"/>
      <c r="U25" s="22"/>
      <c r="V25" s="22"/>
      <c r="W25" s="22"/>
    </row>
    <row r="26" spans="1:23" x14ac:dyDescent="0.25">
      <c r="A26" s="16" t="s">
        <v>107</v>
      </c>
      <c r="B26" s="16" t="s">
        <v>108</v>
      </c>
      <c r="C26" s="16" t="s">
        <v>24</v>
      </c>
      <c r="D26" s="16" t="s">
        <v>109</v>
      </c>
      <c r="E26" s="17" t="s">
        <v>110</v>
      </c>
      <c r="F26" s="28">
        <v>10000</v>
      </c>
      <c r="G26" s="28">
        <v>10000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>
        <f t="shared" si="0"/>
        <v>20000</v>
      </c>
      <c r="S26" s="22"/>
      <c r="T26" s="22"/>
      <c r="U26" s="22"/>
      <c r="V26" s="22"/>
      <c r="W26" s="22"/>
    </row>
    <row r="27" spans="1:23" x14ac:dyDescent="0.25">
      <c r="A27" s="16" t="s">
        <v>111</v>
      </c>
      <c r="B27" s="16" t="s">
        <v>112</v>
      </c>
      <c r="C27" s="16" t="s">
        <v>24</v>
      </c>
      <c r="D27" s="16" t="s">
        <v>113</v>
      </c>
      <c r="E27" s="17" t="s">
        <v>114</v>
      </c>
      <c r="F27" s="28">
        <v>10000</v>
      </c>
      <c r="G27" s="28">
        <v>10000</v>
      </c>
      <c r="H27" s="28">
        <v>10000</v>
      </c>
      <c r="I27" s="28">
        <v>10000</v>
      </c>
      <c r="J27" s="28">
        <v>10000</v>
      </c>
      <c r="K27" s="28"/>
      <c r="L27" s="28"/>
      <c r="M27" s="28"/>
      <c r="N27" s="28"/>
      <c r="O27" s="28"/>
      <c r="P27" s="28"/>
      <c r="Q27" s="28"/>
      <c r="R27" s="28">
        <f t="shared" si="0"/>
        <v>50000</v>
      </c>
      <c r="S27" s="22"/>
      <c r="T27" s="22"/>
      <c r="U27" s="22"/>
      <c r="V27" s="22"/>
      <c r="W27" s="22"/>
    </row>
    <row r="28" spans="1:23" x14ac:dyDescent="0.25">
      <c r="A28" s="16" t="s">
        <v>115</v>
      </c>
      <c r="B28" s="17" t="s">
        <v>541</v>
      </c>
      <c r="C28" s="16" t="s">
        <v>24</v>
      </c>
      <c r="D28" s="16"/>
      <c r="E28" s="17" t="s">
        <v>117</v>
      </c>
      <c r="F28" s="28">
        <v>10000</v>
      </c>
      <c r="G28" s="28">
        <v>10000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>
        <f t="shared" si="0"/>
        <v>20000</v>
      </c>
      <c r="S28" s="22"/>
      <c r="T28" s="22"/>
      <c r="U28" s="22"/>
      <c r="V28" s="22"/>
      <c r="W28" s="22"/>
    </row>
    <row r="29" spans="1:23" x14ac:dyDescent="0.25">
      <c r="A29" s="16" t="s">
        <v>118</v>
      </c>
      <c r="B29" s="16" t="s">
        <v>119</v>
      </c>
      <c r="C29" s="16" t="s">
        <v>120</v>
      </c>
      <c r="D29" s="16" t="s">
        <v>121</v>
      </c>
      <c r="E29" s="16"/>
      <c r="F29" s="28">
        <v>10000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>
        <f t="shared" si="0"/>
        <v>10000</v>
      </c>
      <c r="S29" s="22"/>
      <c r="T29" s="22"/>
      <c r="U29" s="22"/>
      <c r="V29" s="22"/>
      <c r="W29" s="22"/>
    </row>
    <row r="30" spans="1:23" x14ac:dyDescent="0.25">
      <c r="A30" s="16" t="s">
        <v>122</v>
      </c>
      <c r="B30" s="16" t="s">
        <v>123</v>
      </c>
      <c r="C30" s="16" t="s">
        <v>120</v>
      </c>
      <c r="D30" s="16" t="s">
        <v>29</v>
      </c>
      <c r="E30" s="16"/>
      <c r="F30" s="28">
        <v>10000</v>
      </c>
      <c r="G30" s="28">
        <v>10000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>
        <f t="shared" si="0"/>
        <v>20000</v>
      </c>
      <c r="S30" s="22"/>
      <c r="T30" s="22"/>
      <c r="U30" s="22"/>
      <c r="V30" s="22"/>
      <c r="W30" s="22"/>
    </row>
    <row r="31" spans="1:23" x14ac:dyDescent="0.25">
      <c r="A31" s="16" t="s">
        <v>124</v>
      </c>
      <c r="B31" s="16" t="s">
        <v>125</v>
      </c>
      <c r="C31" s="16" t="s">
        <v>120</v>
      </c>
      <c r="D31" s="16" t="s">
        <v>32</v>
      </c>
      <c r="E31" s="17" t="s">
        <v>126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>
        <f t="shared" si="0"/>
        <v>0</v>
      </c>
      <c r="S31" s="22"/>
      <c r="T31" s="22"/>
      <c r="U31" s="22"/>
      <c r="V31" s="22"/>
      <c r="W31" s="22"/>
    </row>
    <row r="32" spans="1:23" x14ac:dyDescent="0.25">
      <c r="A32" s="16" t="s">
        <v>127</v>
      </c>
      <c r="B32" s="16" t="s">
        <v>128</v>
      </c>
      <c r="C32" s="16" t="s">
        <v>120</v>
      </c>
      <c r="D32" s="16" t="s">
        <v>129</v>
      </c>
      <c r="E32" s="1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>
        <f t="shared" si="0"/>
        <v>0</v>
      </c>
      <c r="S32" s="22"/>
      <c r="T32" s="22"/>
      <c r="U32" s="22"/>
      <c r="V32" s="22"/>
      <c r="W32" s="22"/>
    </row>
    <row r="33" spans="1:23" x14ac:dyDescent="0.25">
      <c r="A33" s="16" t="s">
        <v>130</v>
      </c>
      <c r="B33" s="16" t="s">
        <v>131</v>
      </c>
      <c r="C33" s="16" t="s">
        <v>120</v>
      </c>
      <c r="D33" s="16" t="s">
        <v>132</v>
      </c>
      <c r="E33" s="16"/>
      <c r="F33" s="28">
        <v>10000</v>
      </c>
      <c r="G33" s="28">
        <v>10000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f t="shared" si="0"/>
        <v>20000</v>
      </c>
      <c r="S33" s="22"/>
      <c r="T33" s="22"/>
      <c r="U33" s="22"/>
      <c r="V33" s="22"/>
      <c r="W33" s="22"/>
    </row>
    <row r="34" spans="1:23" x14ac:dyDescent="0.25">
      <c r="A34" s="16" t="s">
        <v>133</v>
      </c>
      <c r="B34" s="16" t="s">
        <v>542</v>
      </c>
      <c r="C34" s="16" t="s">
        <v>120</v>
      </c>
      <c r="D34" s="16" t="s">
        <v>36</v>
      </c>
      <c r="E34" s="1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>
        <f t="shared" si="0"/>
        <v>0</v>
      </c>
      <c r="S34" s="22"/>
      <c r="T34" s="22"/>
      <c r="U34" s="22"/>
      <c r="V34" s="22"/>
      <c r="W34" s="22"/>
    </row>
    <row r="35" spans="1:23" x14ac:dyDescent="0.25">
      <c r="A35" s="16" t="s">
        <v>135</v>
      </c>
      <c r="B35" s="16" t="s">
        <v>543</v>
      </c>
      <c r="C35" s="16" t="s">
        <v>120</v>
      </c>
      <c r="D35" s="16" t="s">
        <v>73</v>
      </c>
      <c r="E35" s="17" t="s">
        <v>137</v>
      </c>
      <c r="F35" s="28">
        <v>10000</v>
      </c>
      <c r="G35" s="28">
        <v>10000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>
        <f t="shared" ref="R35:R66" si="1">SUM(F35:Q35)</f>
        <v>20000</v>
      </c>
      <c r="S35" s="22"/>
      <c r="T35" s="22"/>
      <c r="U35" s="22"/>
      <c r="V35" s="22"/>
      <c r="W35" s="22"/>
    </row>
    <row r="36" spans="1:23" x14ac:dyDescent="0.25">
      <c r="A36" s="16" t="s">
        <v>138</v>
      </c>
      <c r="B36" s="16" t="s">
        <v>139</v>
      </c>
      <c r="C36" s="16" t="s">
        <v>120</v>
      </c>
      <c r="D36" s="16" t="s">
        <v>76</v>
      </c>
      <c r="E36" s="17" t="s">
        <v>140</v>
      </c>
      <c r="F36" s="28">
        <v>10000</v>
      </c>
      <c r="G36" s="28">
        <v>10000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f t="shared" si="1"/>
        <v>20000</v>
      </c>
      <c r="S36" s="22"/>
      <c r="T36" s="22"/>
      <c r="U36" s="22"/>
      <c r="V36" s="22"/>
      <c r="W36" s="22"/>
    </row>
    <row r="37" spans="1:23" x14ac:dyDescent="0.25">
      <c r="A37" s="16" t="s">
        <v>141</v>
      </c>
      <c r="B37" s="16" t="s">
        <v>142</v>
      </c>
      <c r="C37" s="16" t="s">
        <v>120</v>
      </c>
      <c r="D37" s="16" t="s">
        <v>79</v>
      </c>
      <c r="E37" s="16"/>
      <c r="F37" s="28">
        <v>10000</v>
      </c>
      <c r="G37" s="28">
        <v>10000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>
        <f t="shared" si="1"/>
        <v>20000</v>
      </c>
      <c r="S37" s="22"/>
      <c r="T37" s="22"/>
      <c r="U37" s="22"/>
      <c r="V37" s="22"/>
      <c r="W37" s="22"/>
    </row>
    <row r="38" spans="1:23" x14ac:dyDescent="0.25">
      <c r="A38" s="16" t="s">
        <v>143</v>
      </c>
      <c r="B38" s="16" t="s">
        <v>144</v>
      </c>
      <c r="C38" s="16" t="s">
        <v>120</v>
      </c>
      <c r="D38" s="16" t="s">
        <v>85</v>
      </c>
      <c r="E38" s="17" t="s">
        <v>145</v>
      </c>
      <c r="F38" s="28">
        <v>10000</v>
      </c>
      <c r="G38" s="28">
        <v>10000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>
        <f t="shared" si="1"/>
        <v>20000</v>
      </c>
      <c r="S38" s="22"/>
      <c r="T38" s="22"/>
      <c r="U38" s="22"/>
      <c r="V38" s="22"/>
      <c r="W38" s="22"/>
    </row>
    <row r="39" spans="1:23" x14ac:dyDescent="0.25">
      <c r="A39" s="16" t="s">
        <v>146</v>
      </c>
      <c r="B39" s="16" t="s">
        <v>147</v>
      </c>
      <c r="C39" s="16" t="s">
        <v>120</v>
      </c>
      <c r="D39" s="16" t="s">
        <v>89</v>
      </c>
      <c r="E39" s="17" t="s">
        <v>148</v>
      </c>
      <c r="F39" s="28">
        <v>10000</v>
      </c>
      <c r="G39" s="28">
        <v>10000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>
        <f t="shared" si="1"/>
        <v>20000</v>
      </c>
      <c r="S39" s="22"/>
      <c r="T39" s="22"/>
      <c r="U39" s="22"/>
      <c r="V39" s="22"/>
      <c r="W39" s="22"/>
    </row>
    <row r="40" spans="1:23" x14ac:dyDescent="0.25">
      <c r="A40" s="16" t="s">
        <v>149</v>
      </c>
      <c r="B40" s="16" t="s">
        <v>150</v>
      </c>
      <c r="C40" s="16" t="s">
        <v>120</v>
      </c>
      <c r="D40" s="16" t="s">
        <v>151</v>
      </c>
      <c r="E40" s="17" t="s">
        <v>152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>
        <f t="shared" si="1"/>
        <v>0</v>
      </c>
      <c r="S40" s="22"/>
      <c r="T40" s="22"/>
      <c r="U40" s="22"/>
      <c r="V40" s="22"/>
      <c r="W40" s="22"/>
    </row>
    <row r="41" spans="1:23" x14ac:dyDescent="0.25">
      <c r="A41" s="16" t="s">
        <v>153</v>
      </c>
      <c r="B41" s="16" t="s">
        <v>154</v>
      </c>
      <c r="C41" s="16" t="s">
        <v>120</v>
      </c>
      <c r="D41" s="16" t="s">
        <v>93</v>
      </c>
      <c r="E41" s="17" t="s">
        <v>155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>
        <f t="shared" si="1"/>
        <v>0</v>
      </c>
      <c r="S41" s="22"/>
      <c r="T41" s="22"/>
      <c r="U41" s="22"/>
      <c r="V41" s="22"/>
      <c r="W41" s="22"/>
    </row>
    <row r="42" spans="1:23" x14ac:dyDescent="0.25">
      <c r="A42" s="16" t="s">
        <v>156</v>
      </c>
      <c r="B42" s="16" t="s">
        <v>544</v>
      </c>
      <c r="C42" s="16" t="s">
        <v>120</v>
      </c>
      <c r="D42" s="16" t="s">
        <v>97</v>
      </c>
      <c r="E42" s="16"/>
      <c r="F42" s="28">
        <v>10000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>
        <f t="shared" si="1"/>
        <v>10000</v>
      </c>
      <c r="S42" s="22"/>
      <c r="T42" s="22"/>
      <c r="U42" s="22"/>
      <c r="V42" s="22"/>
      <c r="W42" s="22"/>
    </row>
    <row r="43" spans="1:23" x14ac:dyDescent="0.25">
      <c r="A43" s="16" t="s">
        <v>158</v>
      </c>
      <c r="B43" s="16" t="s">
        <v>159</v>
      </c>
      <c r="C43" s="16" t="s">
        <v>120</v>
      </c>
      <c r="D43" s="16" t="s">
        <v>109</v>
      </c>
      <c r="E43" s="16"/>
      <c r="F43" s="28">
        <v>10000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>
        <f t="shared" si="1"/>
        <v>10000</v>
      </c>
      <c r="S43" s="22"/>
      <c r="T43" s="22"/>
      <c r="U43" s="22"/>
      <c r="V43" s="22"/>
      <c r="W43" s="22"/>
    </row>
    <row r="44" spans="1:23" x14ac:dyDescent="0.25">
      <c r="A44" s="16" t="s">
        <v>160</v>
      </c>
      <c r="B44" s="16" t="s">
        <v>161</v>
      </c>
      <c r="C44" s="16" t="s">
        <v>120</v>
      </c>
      <c r="D44" s="16" t="s">
        <v>162</v>
      </c>
      <c r="E44" s="17"/>
      <c r="F44" s="28">
        <v>10000</v>
      </c>
      <c r="G44" s="28">
        <v>10000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>
        <f t="shared" si="1"/>
        <v>20000</v>
      </c>
      <c r="S44" s="22"/>
      <c r="T44" s="22"/>
      <c r="U44" s="22"/>
      <c r="V44" s="22"/>
      <c r="W44" s="22"/>
    </row>
    <row r="45" spans="1:23" x14ac:dyDescent="0.25">
      <c r="A45" s="16" t="s">
        <v>163</v>
      </c>
      <c r="B45" s="16" t="s">
        <v>164</v>
      </c>
      <c r="C45" s="16" t="s">
        <v>120</v>
      </c>
      <c r="D45" s="16" t="s">
        <v>165</v>
      </c>
      <c r="E45" s="1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>
        <f t="shared" si="1"/>
        <v>0</v>
      </c>
      <c r="S45" s="22"/>
      <c r="T45" s="22"/>
      <c r="U45" s="22"/>
      <c r="V45" s="22"/>
      <c r="W45" s="22"/>
    </row>
    <row r="46" spans="1:23" x14ac:dyDescent="0.25">
      <c r="A46" s="16" t="s">
        <v>166</v>
      </c>
      <c r="B46" s="16" t="s">
        <v>100</v>
      </c>
      <c r="C46" s="16" t="s">
        <v>120</v>
      </c>
      <c r="D46" s="16" t="s">
        <v>168</v>
      </c>
      <c r="E46" s="1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>
        <f t="shared" si="1"/>
        <v>0</v>
      </c>
      <c r="S46" s="22"/>
      <c r="T46" s="22"/>
      <c r="U46" s="22"/>
      <c r="V46" s="22"/>
      <c r="W46" s="22"/>
    </row>
    <row r="47" spans="1:23" x14ac:dyDescent="0.25">
      <c r="A47" s="16" t="s">
        <v>169</v>
      </c>
      <c r="B47" s="16" t="s">
        <v>539</v>
      </c>
      <c r="C47" s="16" t="s">
        <v>120</v>
      </c>
      <c r="D47" s="16" t="s">
        <v>170</v>
      </c>
      <c r="E47" s="1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>
        <f t="shared" si="1"/>
        <v>0</v>
      </c>
      <c r="S47" s="22"/>
      <c r="T47" s="22"/>
      <c r="U47" s="22"/>
      <c r="V47" s="22"/>
      <c r="W47" s="22"/>
    </row>
    <row r="48" spans="1:23" x14ac:dyDescent="0.25">
      <c r="A48" s="16" t="s">
        <v>171</v>
      </c>
      <c r="B48" s="16" t="s">
        <v>172</v>
      </c>
      <c r="C48" s="16" t="s">
        <v>120</v>
      </c>
      <c r="D48" s="16" t="s">
        <v>173</v>
      </c>
      <c r="E48" s="17" t="s">
        <v>174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>
        <f t="shared" si="1"/>
        <v>0</v>
      </c>
      <c r="S48" s="22"/>
      <c r="T48" s="22"/>
      <c r="U48" s="22"/>
      <c r="V48" s="22"/>
      <c r="W48" s="22"/>
    </row>
    <row r="49" spans="1:23" x14ac:dyDescent="0.25">
      <c r="A49" s="16" t="s">
        <v>175</v>
      </c>
      <c r="B49" s="16" t="s">
        <v>176</v>
      </c>
      <c r="C49" s="16" t="s">
        <v>120</v>
      </c>
      <c r="D49" s="16" t="s">
        <v>177</v>
      </c>
      <c r="E49" s="17" t="s">
        <v>178</v>
      </c>
      <c r="F49" s="28">
        <v>10000</v>
      </c>
      <c r="G49" s="28">
        <v>10000</v>
      </c>
      <c r="H49" s="28"/>
      <c r="I49" s="28"/>
      <c r="J49" s="28"/>
      <c r="K49" s="29"/>
      <c r="L49" s="28"/>
      <c r="M49" s="28"/>
      <c r="N49" s="28"/>
      <c r="O49" s="28"/>
      <c r="P49" s="28"/>
      <c r="Q49" s="28"/>
      <c r="R49" s="28">
        <f t="shared" si="1"/>
        <v>20000</v>
      </c>
      <c r="S49" s="22"/>
      <c r="T49" s="22"/>
      <c r="U49" s="22"/>
      <c r="V49" s="22"/>
      <c r="W49" s="22"/>
    </row>
    <row r="50" spans="1:23" x14ac:dyDescent="0.25">
      <c r="A50" s="16" t="s">
        <v>179</v>
      </c>
      <c r="B50" s="16" t="s">
        <v>180</v>
      </c>
      <c r="C50" s="16" t="s">
        <v>120</v>
      </c>
      <c r="D50" s="16" t="s">
        <v>181</v>
      </c>
      <c r="E50" s="16"/>
      <c r="F50" s="28">
        <v>10000</v>
      </c>
      <c r="G50" s="28">
        <v>10000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>
        <f t="shared" si="1"/>
        <v>20000</v>
      </c>
      <c r="S50" s="22"/>
      <c r="T50" s="22"/>
      <c r="U50" s="22"/>
      <c r="V50" s="22"/>
      <c r="W50" s="22"/>
    </row>
    <row r="51" spans="1:23" x14ac:dyDescent="0.25">
      <c r="A51" s="16" t="s">
        <v>182</v>
      </c>
      <c r="B51" s="16" t="s">
        <v>183</v>
      </c>
      <c r="C51" s="16" t="s">
        <v>120</v>
      </c>
      <c r="D51" s="16" t="s">
        <v>184</v>
      </c>
      <c r="E51" s="16"/>
      <c r="F51" s="28">
        <v>10000</v>
      </c>
      <c r="G51" s="28">
        <v>10000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>
        <f t="shared" si="1"/>
        <v>20000</v>
      </c>
      <c r="S51" s="22"/>
      <c r="T51" s="22"/>
      <c r="U51" s="22"/>
      <c r="V51" s="22"/>
      <c r="W51" s="22"/>
    </row>
    <row r="52" spans="1:23" x14ac:dyDescent="0.25">
      <c r="A52" s="16" t="s">
        <v>185</v>
      </c>
      <c r="B52" s="16" t="s">
        <v>545</v>
      </c>
      <c r="C52" s="16" t="s">
        <v>120</v>
      </c>
      <c r="D52" s="16" t="s">
        <v>187</v>
      </c>
      <c r="E52" s="16"/>
      <c r="F52" s="28">
        <v>10000</v>
      </c>
      <c r="G52" s="28">
        <v>10000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>
        <f t="shared" si="1"/>
        <v>20000</v>
      </c>
      <c r="S52" s="22"/>
      <c r="T52" s="22"/>
      <c r="U52" s="22"/>
      <c r="V52" s="22"/>
      <c r="W52" s="22"/>
    </row>
    <row r="53" spans="1:23" x14ac:dyDescent="0.25">
      <c r="A53" s="16" t="s">
        <v>188</v>
      </c>
      <c r="B53" s="16" t="s">
        <v>189</v>
      </c>
      <c r="C53" s="16" t="s">
        <v>120</v>
      </c>
      <c r="D53" s="16" t="s">
        <v>190</v>
      </c>
      <c r="E53" s="17" t="s">
        <v>191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f t="shared" si="1"/>
        <v>0</v>
      </c>
      <c r="S53" s="22"/>
      <c r="T53" s="22"/>
      <c r="U53" s="22"/>
      <c r="V53" s="22" t="s">
        <v>192</v>
      </c>
      <c r="W53" s="22">
        <f>W52-W51</f>
        <v>0</v>
      </c>
    </row>
    <row r="54" spans="1:23" x14ac:dyDescent="0.25">
      <c r="A54" s="16" t="s">
        <v>193</v>
      </c>
      <c r="B54" s="16" t="s">
        <v>194</v>
      </c>
      <c r="C54" s="16" t="s">
        <v>195</v>
      </c>
      <c r="D54" s="16" t="s">
        <v>32</v>
      </c>
      <c r="E54" s="17" t="s">
        <v>196</v>
      </c>
      <c r="F54" s="28">
        <v>10000</v>
      </c>
      <c r="G54" s="28">
        <v>10000</v>
      </c>
      <c r="H54" s="28">
        <v>10000</v>
      </c>
      <c r="I54" s="28"/>
      <c r="J54" s="28"/>
      <c r="K54" s="28"/>
      <c r="L54" s="28"/>
      <c r="M54" s="28"/>
      <c r="N54" s="28"/>
      <c r="O54" s="28"/>
      <c r="P54" s="28"/>
      <c r="Q54" s="28"/>
      <c r="R54" s="28">
        <f t="shared" si="1"/>
        <v>30000</v>
      </c>
      <c r="S54" s="22"/>
      <c r="T54" s="22"/>
      <c r="U54" s="22"/>
      <c r="V54" s="22"/>
      <c r="W54" s="22"/>
    </row>
    <row r="55" spans="1:23" x14ac:dyDescent="0.25">
      <c r="A55" s="16" t="s">
        <v>197</v>
      </c>
      <c r="B55" s="16" t="s">
        <v>198</v>
      </c>
      <c r="C55" s="16" t="s">
        <v>195</v>
      </c>
      <c r="D55" s="16" t="s">
        <v>199</v>
      </c>
      <c r="E55" s="17" t="s">
        <v>200</v>
      </c>
      <c r="F55" s="28">
        <v>10000</v>
      </c>
      <c r="G55" s="28">
        <v>10000</v>
      </c>
      <c r="H55" s="28">
        <v>10000</v>
      </c>
      <c r="I55" s="28"/>
      <c r="J55" s="28"/>
      <c r="K55" s="28"/>
      <c r="L55" s="28"/>
      <c r="M55" s="28"/>
      <c r="N55" s="28"/>
      <c r="O55" s="28"/>
      <c r="P55" s="28"/>
      <c r="Q55" s="28"/>
      <c r="R55" s="28">
        <f t="shared" si="1"/>
        <v>30000</v>
      </c>
      <c r="S55" s="22"/>
      <c r="T55" s="22"/>
      <c r="U55" s="22"/>
      <c r="V55" s="22"/>
      <c r="W55" s="22"/>
    </row>
    <row r="56" spans="1:23" x14ac:dyDescent="0.25">
      <c r="A56" s="16" t="s">
        <v>201</v>
      </c>
      <c r="B56" s="16" t="s">
        <v>202</v>
      </c>
      <c r="C56" s="16" t="s">
        <v>195</v>
      </c>
      <c r="D56" s="16" t="s">
        <v>203</v>
      </c>
      <c r="E56" s="17" t="s">
        <v>204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>
        <f t="shared" si="1"/>
        <v>0</v>
      </c>
      <c r="S56" s="22"/>
      <c r="T56" s="22"/>
      <c r="U56" s="22"/>
      <c r="V56" s="22"/>
      <c r="W56" s="22"/>
    </row>
    <row r="57" spans="1:23" x14ac:dyDescent="0.25">
      <c r="A57" s="16" t="s">
        <v>205</v>
      </c>
      <c r="B57" s="16" t="s">
        <v>206</v>
      </c>
      <c r="C57" s="16" t="s">
        <v>195</v>
      </c>
      <c r="D57" s="16" t="s">
        <v>203</v>
      </c>
      <c r="E57" s="17" t="s">
        <v>207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>
        <f t="shared" si="1"/>
        <v>0</v>
      </c>
      <c r="S57" s="22"/>
      <c r="T57" s="22"/>
      <c r="U57" s="22"/>
      <c r="V57" s="30" t="s">
        <v>208</v>
      </c>
      <c r="W57" s="22" t="e">
        <f>#REF!</f>
        <v>#REF!</v>
      </c>
    </row>
    <row r="58" spans="1:23" x14ac:dyDescent="0.25">
      <c r="A58" s="16" t="s">
        <v>209</v>
      </c>
      <c r="B58" s="17" t="s">
        <v>210</v>
      </c>
      <c r="C58" s="16" t="s">
        <v>195</v>
      </c>
      <c r="D58" s="16" t="s">
        <v>211</v>
      </c>
      <c r="E58" s="17" t="s">
        <v>212</v>
      </c>
      <c r="F58" s="28"/>
      <c r="G58" s="28">
        <v>10000</v>
      </c>
      <c r="H58" s="28">
        <v>10000</v>
      </c>
      <c r="I58" s="28"/>
      <c r="J58" s="28"/>
      <c r="K58" s="28"/>
      <c r="L58" s="28"/>
      <c r="M58" s="28"/>
      <c r="N58" s="28"/>
      <c r="O58" s="28"/>
      <c r="P58" s="28"/>
      <c r="Q58" s="28"/>
      <c r="R58" s="28">
        <f t="shared" si="1"/>
        <v>20000</v>
      </c>
      <c r="S58" s="22"/>
      <c r="T58" s="22"/>
      <c r="U58" s="22"/>
      <c r="V58" s="22"/>
      <c r="W58" s="22"/>
    </row>
    <row r="59" spans="1:23" x14ac:dyDescent="0.25">
      <c r="A59" s="16" t="s">
        <v>213</v>
      </c>
      <c r="B59" s="16" t="s">
        <v>214</v>
      </c>
      <c r="C59" s="16" t="s">
        <v>195</v>
      </c>
      <c r="D59" s="16" t="s">
        <v>55</v>
      </c>
      <c r="E59" s="17" t="s">
        <v>215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>
        <f t="shared" si="1"/>
        <v>0</v>
      </c>
      <c r="S59" s="22"/>
      <c r="T59" s="22"/>
      <c r="U59" s="22"/>
      <c r="V59" s="22"/>
      <c r="W59" s="22"/>
    </row>
    <row r="60" spans="1:23" x14ac:dyDescent="0.25">
      <c r="A60" s="16" t="s">
        <v>216</v>
      </c>
      <c r="B60" s="16" t="s">
        <v>46</v>
      </c>
      <c r="C60" s="16" t="s">
        <v>195</v>
      </c>
      <c r="D60" s="16" t="s">
        <v>73</v>
      </c>
      <c r="E60" s="17" t="s">
        <v>217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>
        <f t="shared" si="1"/>
        <v>0</v>
      </c>
      <c r="S60" s="22"/>
      <c r="T60" s="22"/>
      <c r="U60" s="22"/>
      <c r="V60" s="22" t="s">
        <v>218</v>
      </c>
      <c r="W60" s="22">
        <v>22779000</v>
      </c>
    </row>
    <row r="61" spans="1:23" x14ac:dyDescent="0.25">
      <c r="A61" s="16" t="s">
        <v>219</v>
      </c>
      <c r="B61" s="16" t="s">
        <v>220</v>
      </c>
      <c r="C61" s="16" t="s">
        <v>195</v>
      </c>
      <c r="D61" s="16" t="s">
        <v>79</v>
      </c>
      <c r="E61" s="16"/>
      <c r="F61" s="28">
        <v>10000</v>
      </c>
      <c r="G61" s="28">
        <v>10000</v>
      </c>
      <c r="H61" s="28">
        <v>10000</v>
      </c>
      <c r="I61" s="28"/>
      <c r="J61" s="28"/>
      <c r="K61" s="28"/>
      <c r="L61" s="28"/>
      <c r="M61" s="28"/>
      <c r="N61" s="28"/>
      <c r="O61" s="28"/>
      <c r="P61" s="28"/>
      <c r="Q61" s="28"/>
      <c r="R61" s="28">
        <f t="shared" si="1"/>
        <v>30000</v>
      </c>
      <c r="S61" s="22"/>
      <c r="T61" s="22"/>
      <c r="U61" s="22"/>
      <c r="V61" s="22"/>
      <c r="W61" s="22"/>
    </row>
    <row r="62" spans="1:23" x14ac:dyDescent="0.25">
      <c r="A62" s="16" t="s">
        <v>221</v>
      </c>
      <c r="B62" s="16" t="s">
        <v>222</v>
      </c>
      <c r="C62" s="16" t="s">
        <v>195</v>
      </c>
      <c r="D62" s="16" t="s">
        <v>82</v>
      </c>
      <c r="E62" s="17" t="s">
        <v>223</v>
      </c>
      <c r="F62" s="28">
        <v>10000</v>
      </c>
      <c r="G62" s="28">
        <v>10000</v>
      </c>
      <c r="H62" s="28">
        <v>10000</v>
      </c>
      <c r="I62" s="28"/>
      <c r="J62" s="28"/>
      <c r="K62" s="28"/>
      <c r="L62" s="28"/>
      <c r="M62" s="28"/>
      <c r="N62" s="28"/>
      <c r="O62" s="28"/>
      <c r="P62" s="28"/>
      <c r="Q62" s="28"/>
      <c r="R62" s="28">
        <f t="shared" si="1"/>
        <v>30000</v>
      </c>
      <c r="S62" s="22"/>
      <c r="T62" s="22"/>
      <c r="U62" s="22"/>
      <c r="V62" s="22"/>
      <c r="W62" s="22"/>
    </row>
    <row r="63" spans="1:23" x14ac:dyDescent="0.25">
      <c r="A63" s="16" t="s">
        <v>224</v>
      </c>
      <c r="B63" s="16" t="s">
        <v>225</v>
      </c>
      <c r="C63" s="16" t="s">
        <v>195</v>
      </c>
      <c r="D63" s="16" t="s">
        <v>85</v>
      </c>
      <c r="E63" s="17" t="s">
        <v>226</v>
      </c>
      <c r="F63" s="28">
        <v>10000</v>
      </c>
      <c r="G63" s="28">
        <v>10000</v>
      </c>
      <c r="H63" s="28">
        <v>10000</v>
      </c>
      <c r="I63" s="28"/>
      <c r="J63" s="28"/>
      <c r="K63" s="28"/>
      <c r="L63" s="28"/>
      <c r="M63" s="28"/>
      <c r="N63" s="28"/>
      <c r="O63" s="28"/>
      <c r="P63" s="28"/>
      <c r="Q63" s="28"/>
      <c r="R63" s="28">
        <f t="shared" si="1"/>
        <v>30000</v>
      </c>
      <c r="S63" s="22"/>
      <c r="T63" s="22"/>
      <c r="U63" s="22"/>
      <c r="V63" s="22"/>
      <c r="W63" s="22"/>
    </row>
    <row r="64" spans="1:23" x14ac:dyDescent="0.25">
      <c r="A64" s="16" t="s">
        <v>227</v>
      </c>
      <c r="B64" s="16" t="s">
        <v>228</v>
      </c>
      <c r="C64" s="16" t="s">
        <v>195</v>
      </c>
      <c r="D64" s="16" t="s">
        <v>93</v>
      </c>
      <c r="E64" s="17" t="s">
        <v>229</v>
      </c>
      <c r="F64" s="28">
        <v>10000</v>
      </c>
      <c r="G64" s="28">
        <v>10000</v>
      </c>
      <c r="H64" s="28">
        <v>10000</v>
      </c>
      <c r="I64" s="28"/>
      <c r="J64" s="28"/>
      <c r="K64" s="28"/>
      <c r="L64" s="28"/>
      <c r="M64" s="28"/>
      <c r="N64" s="28"/>
      <c r="O64" s="28"/>
      <c r="P64" s="28"/>
      <c r="Q64" s="28"/>
      <c r="R64" s="28">
        <f t="shared" si="1"/>
        <v>30000</v>
      </c>
      <c r="S64" s="22"/>
      <c r="T64" s="22"/>
      <c r="U64" s="22"/>
      <c r="V64" s="22"/>
      <c r="W64" s="22"/>
    </row>
    <row r="65" spans="1:23" x14ac:dyDescent="0.25">
      <c r="A65" s="16" t="s">
        <v>230</v>
      </c>
      <c r="B65" s="16" t="s">
        <v>231</v>
      </c>
      <c r="C65" s="16" t="s">
        <v>195</v>
      </c>
      <c r="D65" s="16" t="s">
        <v>105</v>
      </c>
      <c r="E65" s="17" t="s">
        <v>232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>
        <f t="shared" si="1"/>
        <v>0</v>
      </c>
      <c r="S65" s="22"/>
      <c r="T65" s="22"/>
      <c r="U65" s="22"/>
      <c r="V65" s="22"/>
      <c r="W65" s="22"/>
    </row>
    <row r="66" spans="1:23" x14ac:dyDescent="0.25">
      <c r="A66" s="16" t="s">
        <v>233</v>
      </c>
      <c r="B66" s="16" t="s">
        <v>234</v>
      </c>
      <c r="C66" s="16" t="s">
        <v>195</v>
      </c>
      <c r="D66" s="16" t="s">
        <v>109</v>
      </c>
      <c r="E66" s="17" t="s">
        <v>235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>
        <f t="shared" si="1"/>
        <v>0</v>
      </c>
      <c r="S66" s="22"/>
      <c r="T66" s="22"/>
      <c r="U66" s="22"/>
      <c r="V66" s="22"/>
      <c r="W66" s="22"/>
    </row>
    <row r="67" spans="1:23" x14ac:dyDescent="0.25">
      <c r="A67" s="16" t="s">
        <v>236</v>
      </c>
      <c r="B67" s="16" t="s">
        <v>237</v>
      </c>
      <c r="C67" s="16" t="s">
        <v>195</v>
      </c>
      <c r="D67" s="16" t="s">
        <v>162</v>
      </c>
      <c r="E67" s="16"/>
      <c r="F67" s="28">
        <v>10000</v>
      </c>
      <c r="G67" s="28">
        <v>10000</v>
      </c>
      <c r="H67" s="28">
        <v>10000</v>
      </c>
      <c r="I67" s="28"/>
      <c r="J67" s="28"/>
      <c r="K67" s="28"/>
      <c r="L67" s="28"/>
      <c r="M67" s="28"/>
      <c r="N67" s="28"/>
      <c r="O67" s="28"/>
      <c r="P67" s="28"/>
      <c r="Q67" s="28"/>
      <c r="R67" s="28">
        <f t="shared" ref="R67:R98" si="2">SUM(F67:Q67)</f>
        <v>30000</v>
      </c>
      <c r="S67" s="22"/>
      <c r="T67" s="22"/>
      <c r="U67" s="22"/>
      <c r="V67" s="22"/>
      <c r="W67" s="22"/>
    </row>
    <row r="68" spans="1:23" x14ac:dyDescent="0.25">
      <c r="A68" s="16" t="s">
        <v>238</v>
      </c>
      <c r="B68" s="16" t="s">
        <v>239</v>
      </c>
      <c r="C68" s="16" t="s">
        <v>195</v>
      </c>
      <c r="D68" s="16" t="s">
        <v>240</v>
      </c>
      <c r="E68" s="16"/>
      <c r="F68" s="28">
        <v>10000</v>
      </c>
      <c r="G68" s="28">
        <v>10000</v>
      </c>
      <c r="H68" s="28">
        <v>10000</v>
      </c>
      <c r="I68" s="28"/>
      <c r="J68" s="28"/>
      <c r="K68" s="28"/>
      <c r="L68" s="28"/>
      <c r="M68" s="28"/>
      <c r="N68" s="28"/>
      <c r="O68" s="28"/>
      <c r="P68" s="28"/>
      <c r="Q68" s="28"/>
      <c r="R68" s="28">
        <f t="shared" si="2"/>
        <v>30000</v>
      </c>
      <c r="S68" s="22"/>
      <c r="T68" s="22"/>
      <c r="U68" s="22"/>
      <c r="V68" s="22"/>
      <c r="W68" s="22"/>
    </row>
    <row r="69" spans="1:23" x14ac:dyDescent="0.25">
      <c r="A69" s="16" t="s">
        <v>241</v>
      </c>
      <c r="B69" s="16" t="s">
        <v>242</v>
      </c>
      <c r="C69" s="16" t="s">
        <v>195</v>
      </c>
      <c r="D69" s="16" t="s">
        <v>243</v>
      </c>
      <c r="E69" s="17" t="s">
        <v>244</v>
      </c>
      <c r="F69" s="28">
        <v>10000</v>
      </c>
      <c r="G69" s="28">
        <v>10000</v>
      </c>
      <c r="H69" s="28">
        <v>10000</v>
      </c>
      <c r="I69" s="28"/>
      <c r="J69" s="28"/>
      <c r="K69" s="28"/>
      <c r="L69" s="28"/>
      <c r="M69" s="28"/>
      <c r="N69" s="28"/>
      <c r="O69" s="28"/>
      <c r="P69" s="28"/>
      <c r="Q69" s="28"/>
      <c r="R69" s="28">
        <f t="shared" si="2"/>
        <v>30000</v>
      </c>
      <c r="S69" s="22"/>
      <c r="T69" s="22"/>
      <c r="U69" s="22"/>
      <c r="V69" s="22"/>
      <c r="W69" s="22"/>
    </row>
    <row r="70" spans="1:23" x14ac:dyDescent="0.25">
      <c r="A70" s="16" t="s">
        <v>245</v>
      </c>
      <c r="B70" s="16" t="s">
        <v>194</v>
      </c>
      <c r="C70" s="16" t="s">
        <v>195</v>
      </c>
      <c r="D70" s="16" t="s">
        <v>246</v>
      </c>
      <c r="E70" s="17" t="s">
        <v>247</v>
      </c>
      <c r="F70" s="28">
        <v>10000</v>
      </c>
      <c r="G70" s="28">
        <v>10000</v>
      </c>
      <c r="H70" s="28">
        <v>10000</v>
      </c>
      <c r="I70" s="28"/>
      <c r="J70" s="28"/>
      <c r="K70" s="28"/>
      <c r="L70" s="28"/>
      <c r="M70" s="28"/>
      <c r="N70" s="28"/>
      <c r="O70" s="28"/>
      <c r="P70" s="28"/>
      <c r="Q70" s="28"/>
      <c r="R70" s="28">
        <f t="shared" si="2"/>
        <v>30000</v>
      </c>
      <c r="S70" s="22"/>
      <c r="T70" s="22"/>
      <c r="U70" s="22"/>
      <c r="V70" s="22"/>
      <c r="W70" s="22"/>
    </row>
    <row r="71" spans="1:23" x14ac:dyDescent="0.25">
      <c r="A71" s="16" t="s">
        <v>248</v>
      </c>
      <c r="B71" s="16" t="s">
        <v>249</v>
      </c>
      <c r="C71" s="16" t="s">
        <v>195</v>
      </c>
      <c r="D71" s="16" t="s">
        <v>187</v>
      </c>
      <c r="E71" s="16"/>
      <c r="F71" s="28">
        <v>10000</v>
      </c>
      <c r="G71" s="28">
        <v>10000</v>
      </c>
      <c r="H71" s="28">
        <v>10000</v>
      </c>
      <c r="I71" s="28"/>
      <c r="J71" s="28"/>
      <c r="K71" s="28"/>
      <c r="L71" s="28"/>
      <c r="M71" s="28"/>
      <c r="N71" s="28"/>
      <c r="O71" s="28"/>
      <c r="P71" s="28"/>
      <c r="Q71" s="28"/>
      <c r="R71" s="28">
        <f t="shared" si="2"/>
        <v>30000</v>
      </c>
      <c r="S71" s="22"/>
      <c r="T71" s="22"/>
      <c r="U71" s="22"/>
      <c r="V71" s="22"/>
      <c r="W71" s="22"/>
    </row>
    <row r="72" spans="1:23" x14ac:dyDescent="0.25">
      <c r="A72" s="16" t="s">
        <v>251</v>
      </c>
      <c r="B72" s="16" t="s">
        <v>546</v>
      </c>
      <c r="C72" s="16" t="s">
        <v>195</v>
      </c>
      <c r="D72" s="16" t="s">
        <v>253</v>
      </c>
      <c r="E72" s="17" t="s">
        <v>254</v>
      </c>
      <c r="F72" s="28">
        <v>10000</v>
      </c>
      <c r="G72" s="28">
        <v>10000</v>
      </c>
      <c r="H72" s="28">
        <v>10000</v>
      </c>
      <c r="I72" s="28"/>
      <c r="J72" s="28"/>
      <c r="K72" s="28"/>
      <c r="L72" s="28"/>
      <c r="M72" s="28"/>
      <c r="N72" s="28"/>
      <c r="O72" s="28"/>
      <c r="P72" s="28"/>
      <c r="Q72" s="28"/>
      <c r="R72" s="28">
        <f t="shared" si="2"/>
        <v>30000</v>
      </c>
      <c r="S72" s="22"/>
      <c r="T72" s="22"/>
      <c r="U72" s="22"/>
      <c r="V72" s="22"/>
      <c r="W72" s="22"/>
    </row>
    <row r="73" spans="1:23" x14ac:dyDescent="0.25">
      <c r="A73" s="16" t="s">
        <v>255</v>
      </c>
      <c r="B73" s="16" t="s">
        <v>172</v>
      </c>
      <c r="C73" s="16" t="s">
        <v>195</v>
      </c>
      <c r="D73" s="16" t="s">
        <v>170</v>
      </c>
      <c r="E73" s="17" t="s">
        <v>257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>
        <f t="shared" si="2"/>
        <v>0</v>
      </c>
      <c r="S73" s="22"/>
      <c r="T73" s="22"/>
      <c r="U73" s="22"/>
      <c r="V73" s="22"/>
      <c r="W73" s="22"/>
    </row>
    <row r="74" spans="1:23" x14ac:dyDescent="0.25">
      <c r="A74" s="16" t="s">
        <v>258</v>
      </c>
      <c r="B74" s="16" t="s">
        <v>547</v>
      </c>
      <c r="C74" s="16" t="s">
        <v>195</v>
      </c>
      <c r="D74" s="16" t="s">
        <v>480</v>
      </c>
      <c r="E74" s="16"/>
      <c r="F74" s="28">
        <v>20000</v>
      </c>
      <c r="G74" s="28">
        <v>10000</v>
      </c>
      <c r="H74" s="28">
        <v>10000</v>
      </c>
      <c r="I74" s="28"/>
      <c r="J74" s="28"/>
      <c r="K74" s="28"/>
      <c r="L74" s="28"/>
      <c r="M74" s="28"/>
      <c r="N74" s="28"/>
      <c r="O74" s="28"/>
      <c r="P74" s="28"/>
      <c r="Q74" s="28"/>
      <c r="R74" s="28">
        <f t="shared" si="2"/>
        <v>40000</v>
      </c>
      <c r="S74" s="22"/>
      <c r="T74" s="22"/>
      <c r="U74" s="22"/>
      <c r="V74" s="22"/>
      <c r="W74" s="22"/>
    </row>
    <row r="75" spans="1:23" x14ac:dyDescent="0.25">
      <c r="A75" s="16" t="s">
        <v>260</v>
      </c>
      <c r="B75" s="16" t="s">
        <v>261</v>
      </c>
      <c r="C75" s="16" t="s">
        <v>195</v>
      </c>
      <c r="D75" s="16" t="s">
        <v>262</v>
      </c>
      <c r="E75" s="16"/>
      <c r="F75" s="28">
        <v>10000</v>
      </c>
      <c r="G75" s="28">
        <v>10000</v>
      </c>
      <c r="H75" s="28">
        <v>10000</v>
      </c>
      <c r="I75" s="28"/>
      <c r="J75" s="28"/>
      <c r="K75" s="28"/>
      <c r="L75" s="28"/>
      <c r="M75" s="28"/>
      <c r="N75" s="28"/>
      <c r="O75" s="28"/>
      <c r="P75" s="28"/>
      <c r="Q75" s="28"/>
      <c r="R75" s="28">
        <f t="shared" si="2"/>
        <v>30000</v>
      </c>
      <c r="S75" s="22"/>
      <c r="T75" s="22"/>
      <c r="U75" s="22"/>
      <c r="V75" s="22"/>
      <c r="W75" s="22"/>
    </row>
    <row r="76" spans="1:23" x14ac:dyDescent="0.25">
      <c r="A76" s="16" t="s">
        <v>264</v>
      </c>
      <c r="B76" s="16" t="s">
        <v>265</v>
      </c>
      <c r="C76" s="16" t="s">
        <v>195</v>
      </c>
      <c r="D76" s="16" t="s">
        <v>266</v>
      </c>
      <c r="E76" s="16"/>
      <c r="F76" s="28">
        <v>10000</v>
      </c>
      <c r="G76" s="28">
        <v>10000</v>
      </c>
      <c r="H76" s="28">
        <v>10000</v>
      </c>
      <c r="I76" s="28"/>
      <c r="J76" s="28"/>
      <c r="K76" s="28"/>
      <c r="L76" s="28"/>
      <c r="M76" s="28"/>
      <c r="N76" s="28"/>
      <c r="O76" s="28"/>
      <c r="P76" s="28"/>
      <c r="Q76" s="28"/>
      <c r="R76" s="28">
        <f t="shared" si="2"/>
        <v>30000</v>
      </c>
      <c r="S76" s="22"/>
      <c r="T76" s="22"/>
      <c r="U76" s="22"/>
      <c r="V76" s="22"/>
      <c r="W76" s="22"/>
    </row>
    <row r="77" spans="1:23" x14ac:dyDescent="0.25">
      <c r="A77" s="16" t="s">
        <v>267</v>
      </c>
      <c r="B77" s="16" t="s">
        <v>268</v>
      </c>
      <c r="C77" s="16" t="s">
        <v>195</v>
      </c>
      <c r="D77" s="16" t="s">
        <v>269</v>
      </c>
      <c r="E77" s="17" t="s">
        <v>270</v>
      </c>
      <c r="F77" s="28">
        <v>10000</v>
      </c>
      <c r="G77" s="28">
        <v>10000</v>
      </c>
      <c r="H77" s="28">
        <v>10000</v>
      </c>
      <c r="I77" s="28"/>
      <c r="J77" s="28"/>
      <c r="K77" s="28"/>
      <c r="L77" s="28"/>
      <c r="M77" s="28"/>
      <c r="N77" s="28"/>
      <c r="O77" s="28"/>
      <c r="P77" s="28"/>
      <c r="Q77" s="28"/>
      <c r="R77" s="28">
        <f t="shared" si="2"/>
        <v>30000</v>
      </c>
      <c r="S77" s="22"/>
      <c r="T77" s="22"/>
      <c r="U77" s="22"/>
      <c r="V77" s="22"/>
      <c r="W77" s="22"/>
    </row>
    <row r="78" spans="1:23" x14ac:dyDescent="0.25">
      <c r="A78" s="16" t="s">
        <v>271</v>
      </c>
      <c r="B78" s="16" t="s">
        <v>272</v>
      </c>
      <c r="C78" s="16" t="s">
        <v>195</v>
      </c>
      <c r="D78" s="16" t="s">
        <v>273</v>
      </c>
      <c r="E78" s="17" t="s">
        <v>274</v>
      </c>
      <c r="F78" s="28">
        <v>10000</v>
      </c>
      <c r="G78" s="28">
        <v>10000</v>
      </c>
      <c r="H78" s="28">
        <v>10000</v>
      </c>
      <c r="I78" s="28"/>
      <c r="J78" s="28"/>
      <c r="K78" s="28"/>
      <c r="L78" s="28"/>
      <c r="M78" s="28"/>
      <c r="N78" s="28"/>
      <c r="O78" s="28"/>
      <c r="P78" s="28"/>
      <c r="Q78" s="28"/>
      <c r="R78" s="28">
        <f t="shared" si="2"/>
        <v>30000</v>
      </c>
      <c r="S78" s="22"/>
      <c r="T78" s="22"/>
      <c r="U78" s="22"/>
      <c r="V78" s="22"/>
      <c r="W78" s="22"/>
    </row>
    <row r="79" spans="1:23" x14ac:dyDescent="0.25">
      <c r="A79" s="16" t="s">
        <v>275</v>
      </c>
      <c r="B79" s="16" t="s">
        <v>276</v>
      </c>
      <c r="C79" s="16" t="s">
        <v>195</v>
      </c>
      <c r="D79" s="16" t="s">
        <v>277</v>
      </c>
      <c r="E79" s="17" t="s">
        <v>278</v>
      </c>
      <c r="F79" s="28"/>
      <c r="G79" s="28">
        <v>10000</v>
      </c>
      <c r="H79" s="28">
        <v>10000</v>
      </c>
      <c r="I79" s="28"/>
      <c r="J79" s="28"/>
      <c r="K79" s="28"/>
      <c r="L79" s="28"/>
      <c r="M79" s="28"/>
      <c r="N79" s="28"/>
      <c r="O79" s="28"/>
      <c r="P79" s="28"/>
      <c r="Q79" s="28"/>
      <c r="R79" s="28">
        <f t="shared" si="2"/>
        <v>20000</v>
      </c>
      <c r="S79" s="22"/>
      <c r="T79" s="22"/>
      <c r="U79" s="22"/>
      <c r="V79" s="22"/>
      <c r="W79" s="22"/>
    </row>
    <row r="80" spans="1:23" x14ac:dyDescent="0.25">
      <c r="A80" s="16" t="s">
        <v>279</v>
      </c>
      <c r="B80" s="16" t="s">
        <v>280</v>
      </c>
      <c r="C80" s="16" t="s">
        <v>195</v>
      </c>
      <c r="D80" s="16" t="s">
        <v>281</v>
      </c>
      <c r="E80" s="16"/>
      <c r="F80" s="28">
        <v>10000</v>
      </c>
      <c r="G80" s="28">
        <v>10000</v>
      </c>
      <c r="H80" s="28">
        <v>10000</v>
      </c>
      <c r="I80" s="28"/>
      <c r="J80" s="28"/>
      <c r="K80" s="28"/>
      <c r="L80" s="28"/>
      <c r="M80" s="28"/>
      <c r="N80" s="28"/>
      <c r="O80" s="28"/>
      <c r="P80" s="28"/>
      <c r="Q80" s="28"/>
      <c r="R80" s="28">
        <f t="shared" si="2"/>
        <v>30000</v>
      </c>
      <c r="S80" s="22"/>
      <c r="T80" s="22"/>
      <c r="U80" s="22"/>
      <c r="V80" s="22"/>
      <c r="W80" s="22"/>
    </row>
    <row r="81" spans="1:23" x14ac:dyDescent="0.25">
      <c r="A81" s="16" t="s">
        <v>282</v>
      </c>
      <c r="B81" s="16" t="s">
        <v>283</v>
      </c>
      <c r="C81" s="16" t="s">
        <v>195</v>
      </c>
      <c r="D81" s="16" t="s">
        <v>284</v>
      </c>
      <c r="E81" s="16"/>
      <c r="F81" s="28">
        <v>10000</v>
      </c>
      <c r="G81" s="28">
        <v>10000</v>
      </c>
      <c r="H81" s="28">
        <v>10000</v>
      </c>
      <c r="I81" s="28"/>
      <c r="J81" s="28"/>
      <c r="K81" s="28"/>
      <c r="L81" s="28"/>
      <c r="M81" s="28"/>
      <c r="N81" s="28"/>
      <c r="O81" s="28"/>
      <c r="P81" s="28"/>
      <c r="Q81" s="28"/>
      <c r="R81" s="28">
        <f t="shared" si="2"/>
        <v>30000</v>
      </c>
      <c r="S81" s="22"/>
      <c r="T81" s="22"/>
      <c r="U81" s="22"/>
      <c r="V81" s="22"/>
      <c r="W81" s="22"/>
    </row>
    <row r="82" spans="1:23" x14ac:dyDescent="0.25">
      <c r="A82" s="16" t="s">
        <v>285</v>
      </c>
      <c r="B82" s="16" t="s">
        <v>286</v>
      </c>
      <c r="C82" s="16" t="s">
        <v>195</v>
      </c>
      <c r="D82" s="16" t="s">
        <v>287</v>
      </c>
      <c r="E82" s="17" t="s">
        <v>288</v>
      </c>
      <c r="F82" s="28">
        <v>10000</v>
      </c>
      <c r="G82" s="28">
        <v>10000</v>
      </c>
      <c r="H82" s="28">
        <v>10000</v>
      </c>
      <c r="I82" s="28"/>
      <c r="J82" s="28"/>
      <c r="K82" s="28"/>
      <c r="L82" s="28"/>
      <c r="M82" s="28"/>
      <c r="N82" s="28"/>
      <c r="O82" s="28"/>
      <c r="P82" s="28"/>
      <c r="Q82" s="28"/>
      <c r="R82" s="28">
        <f t="shared" si="2"/>
        <v>30000</v>
      </c>
      <c r="S82" s="22"/>
      <c r="T82" s="22"/>
      <c r="U82" s="22"/>
      <c r="V82" s="22"/>
      <c r="W82" s="22"/>
    </row>
    <row r="83" spans="1:23" x14ac:dyDescent="0.25">
      <c r="A83" s="16" t="s">
        <v>289</v>
      </c>
      <c r="B83" s="16" t="s">
        <v>290</v>
      </c>
      <c r="C83" s="16" t="s">
        <v>195</v>
      </c>
      <c r="D83" s="16" t="s">
        <v>291</v>
      </c>
      <c r="E83" s="16"/>
      <c r="F83" s="28"/>
      <c r="G83" s="28"/>
      <c r="H83" s="28">
        <v>10000</v>
      </c>
      <c r="I83" s="28"/>
      <c r="J83" s="28"/>
      <c r="K83" s="28"/>
      <c r="L83" s="28"/>
      <c r="M83" s="28"/>
      <c r="N83" s="28"/>
      <c r="O83" s="28"/>
      <c r="P83" s="28"/>
      <c r="Q83" s="28"/>
      <c r="R83" s="28">
        <f t="shared" si="2"/>
        <v>10000</v>
      </c>
      <c r="S83" s="22"/>
      <c r="T83" s="22"/>
      <c r="U83" s="22"/>
      <c r="V83" s="22"/>
      <c r="W83" s="22"/>
    </row>
    <row r="84" spans="1:23" x14ac:dyDescent="0.25">
      <c r="A84" s="16" t="s">
        <v>292</v>
      </c>
      <c r="B84" s="16" t="s">
        <v>293</v>
      </c>
      <c r="C84" s="16" t="s">
        <v>195</v>
      </c>
      <c r="D84" s="16" t="s">
        <v>294</v>
      </c>
      <c r="E84" s="16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>
        <f t="shared" si="2"/>
        <v>0</v>
      </c>
      <c r="S84" s="22"/>
      <c r="T84" s="22"/>
      <c r="U84" s="22"/>
      <c r="V84" s="22"/>
      <c r="W84" s="22"/>
    </row>
    <row r="85" spans="1:23" x14ac:dyDescent="0.25">
      <c r="A85" s="16" t="s">
        <v>295</v>
      </c>
      <c r="B85" s="16" t="s">
        <v>296</v>
      </c>
      <c r="C85" s="16" t="s">
        <v>195</v>
      </c>
      <c r="D85" s="16" t="s">
        <v>297</v>
      </c>
      <c r="E85" s="17" t="s">
        <v>298</v>
      </c>
      <c r="F85" s="28">
        <v>10000</v>
      </c>
      <c r="G85" s="28">
        <v>10000</v>
      </c>
      <c r="H85" s="28">
        <v>10000</v>
      </c>
      <c r="I85" s="28"/>
      <c r="J85" s="28"/>
      <c r="K85" s="28"/>
      <c r="L85" s="28"/>
      <c r="M85" s="28"/>
      <c r="N85" s="28"/>
      <c r="O85" s="28"/>
      <c r="P85" s="28"/>
      <c r="Q85" s="28"/>
      <c r="R85" s="28">
        <f t="shared" si="2"/>
        <v>30000</v>
      </c>
      <c r="S85" s="22"/>
      <c r="T85" s="22"/>
      <c r="U85" s="22"/>
      <c r="V85" s="22"/>
      <c r="W85" s="22"/>
    </row>
    <row r="86" spans="1:23" x14ac:dyDescent="0.25">
      <c r="A86" s="16" t="s">
        <v>299</v>
      </c>
      <c r="B86" s="16" t="s">
        <v>300</v>
      </c>
      <c r="C86" s="16" t="s">
        <v>195</v>
      </c>
      <c r="D86" s="16" t="s">
        <v>301</v>
      </c>
      <c r="E86" s="16"/>
      <c r="F86" s="28">
        <v>10000</v>
      </c>
      <c r="G86" s="28">
        <v>10000</v>
      </c>
      <c r="H86" s="28">
        <v>10000</v>
      </c>
      <c r="I86" s="28"/>
      <c r="J86" s="28"/>
      <c r="K86" s="28"/>
      <c r="L86" s="28"/>
      <c r="M86" s="28"/>
      <c r="N86" s="28"/>
      <c r="O86" s="28"/>
      <c r="P86" s="28"/>
      <c r="Q86" s="28"/>
      <c r="R86" s="28">
        <f t="shared" si="2"/>
        <v>30000</v>
      </c>
      <c r="S86" s="22"/>
      <c r="T86" s="22"/>
      <c r="U86" s="22"/>
      <c r="V86" s="22"/>
      <c r="W86" s="22"/>
    </row>
    <row r="87" spans="1:23" x14ac:dyDescent="0.25">
      <c r="A87" s="16" t="s">
        <v>302</v>
      </c>
      <c r="B87" s="16" t="s">
        <v>303</v>
      </c>
      <c r="C87" s="16" t="s">
        <v>195</v>
      </c>
      <c r="D87" s="16" t="s">
        <v>304</v>
      </c>
      <c r="E87" s="16"/>
      <c r="F87" s="28">
        <v>10000</v>
      </c>
      <c r="G87" s="28">
        <v>10000</v>
      </c>
      <c r="H87" s="28">
        <v>10000</v>
      </c>
      <c r="I87" s="28"/>
      <c r="J87" s="28"/>
      <c r="K87" s="28"/>
      <c r="L87" s="28"/>
      <c r="M87" s="28"/>
      <c r="N87" s="28"/>
      <c r="O87" s="28"/>
      <c r="P87" s="28"/>
      <c r="Q87" s="28"/>
      <c r="R87" s="28">
        <f t="shared" si="2"/>
        <v>30000</v>
      </c>
      <c r="S87" s="22"/>
      <c r="T87" s="22"/>
      <c r="U87" s="22"/>
      <c r="V87" s="22"/>
      <c r="W87" s="22"/>
    </row>
    <row r="88" spans="1:23" x14ac:dyDescent="0.25">
      <c r="A88" s="16" t="s">
        <v>305</v>
      </c>
      <c r="B88" s="16" t="s">
        <v>234</v>
      </c>
      <c r="C88" s="16" t="s">
        <v>195</v>
      </c>
      <c r="D88" s="16" t="s">
        <v>306</v>
      </c>
      <c r="E88" s="16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>
        <f t="shared" si="2"/>
        <v>0</v>
      </c>
      <c r="S88" s="22"/>
      <c r="T88" s="22"/>
      <c r="U88" s="22"/>
      <c r="V88" s="22"/>
      <c r="W88" s="22"/>
    </row>
    <row r="89" spans="1:23" x14ac:dyDescent="0.25">
      <c r="A89" s="16" t="s">
        <v>307</v>
      </c>
      <c r="B89" s="16" t="s">
        <v>139</v>
      </c>
      <c r="C89" s="16" t="s">
        <v>195</v>
      </c>
      <c r="D89" s="16" t="s">
        <v>308</v>
      </c>
      <c r="E89" s="17" t="s">
        <v>309</v>
      </c>
      <c r="F89" s="28">
        <v>10000</v>
      </c>
      <c r="G89" s="28">
        <v>10000</v>
      </c>
      <c r="H89" s="28">
        <v>10000</v>
      </c>
      <c r="I89" s="28"/>
      <c r="J89" s="28"/>
      <c r="K89" s="28"/>
      <c r="L89" s="28"/>
      <c r="M89" s="28"/>
      <c r="N89" s="28"/>
      <c r="O89" s="28"/>
      <c r="P89" s="28"/>
      <c r="Q89" s="28"/>
      <c r="R89" s="28">
        <f t="shared" si="2"/>
        <v>30000</v>
      </c>
      <c r="S89" s="22"/>
      <c r="T89" s="22"/>
      <c r="U89" s="22"/>
      <c r="V89" s="22"/>
      <c r="W89" s="22"/>
    </row>
    <row r="90" spans="1:23" x14ac:dyDescent="0.25">
      <c r="A90" s="16" t="s">
        <v>310</v>
      </c>
      <c r="B90" s="16" t="s">
        <v>548</v>
      </c>
      <c r="C90" s="16" t="s">
        <v>195</v>
      </c>
      <c r="D90" s="16" t="s">
        <v>312</v>
      </c>
      <c r="E90" s="17" t="s">
        <v>313</v>
      </c>
      <c r="F90" s="28">
        <v>10000</v>
      </c>
      <c r="G90" s="28">
        <v>10000</v>
      </c>
      <c r="H90" s="28">
        <v>10000</v>
      </c>
      <c r="I90" s="28"/>
      <c r="J90" s="28"/>
      <c r="K90" s="28"/>
      <c r="L90" s="28"/>
      <c r="M90" s="28"/>
      <c r="N90" s="28"/>
      <c r="O90" s="28"/>
      <c r="P90" s="28"/>
      <c r="Q90" s="28"/>
      <c r="R90" s="28">
        <f t="shared" si="2"/>
        <v>30000</v>
      </c>
      <c r="S90" s="22"/>
      <c r="T90" s="22"/>
      <c r="U90" s="22"/>
      <c r="V90" s="22"/>
      <c r="W90" s="22"/>
    </row>
    <row r="91" spans="1:23" x14ac:dyDescent="0.25">
      <c r="A91" s="16" t="s">
        <v>314</v>
      </c>
      <c r="B91" s="16" t="s">
        <v>315</v>
      </c>
      <c r="C91" s="16" t="s">
        <v>195</v>
      </c>
      <c r="D91" s="16" t="s">
        <v>316</v>
      </c>
      <c r="E91" s="16"/>
      <c r="F91" s="28">
        <v>10000</v>
      </c>
      <c r="G91" s="28">
        <v>10000</v>
      </c>
      <c r="H91" s="28">
        <v>10000</v>
      </c>
      <c r="I91" s="28"/>
      <c r="J91" s="28"/>
      <c r="K91" s="28"/>
      <c r="L91" s="28"/>
      <c r="M91" s="28"/>
      <c r="N91" s="28"/>
      <c r="O91" s="28"/>
      <c r="P91" s="28"/>
      <c r="Q91" s="28"/>
      <c r="R91" s="28">
        <f t="shared" si="2"/>
        <v>30000</v>
      </c>
      <c r="S91" s="22"/>
      <c r="T91" s="22"/>
      <c r="U91" s="22"/>
      <c r="V91" s="22"/>
      <c r="W91" s="22"/>
    </row>
    <row r="92" spans="1:23" x14ac:dyDescent="0.25">
      <c r="A92" s="16" t="s">
        <v>317</v>
      </c>
      <c r="B92" s="16" t="s">
        <v>318</v>
      </c>
      <c r="C92" s="16" t="s">
        <v>195</v>
      </c>
      <c r="D92" s="16" t="s">
        <v>319</v>
      </c>
      <c r="E92" s="16"/>
      <c r="F92" s="28">
        <v>10000</v>
      </c>
      <c r="G92" s="28">
        <v>10000</v>
      </c>
      <c r="H92" s="28">
        <v>10000</v>
      </c>
      <c r="I92" s="28"/>
      <c r="J92" s="28"/>
      <c r="K92" s="28"/>
      <c r="L92" s="28"/>
      <c r="M92" s="28"/>
      <c r="N92" s="28"/>
      <c r="O92" s="28"/>
      <c r="P92" s="28"/>
      <c r="Q92" s="28"/>
      <c r="R92" s="28">
        <f t="shared" si="2"/>
        <v>30000</v>
      </c>
      <c r="S92" s="22"/>
      <c r="T92" s="22"/>
      <c r="U92" s="22"/>
      <c r="V92" s="22"/>
      <c r="W92" s="22"/>
    </row>
    <row r="93" spans="1:23" x14ac:dyDescent="0.25">
      <c r="A93" s="16" t="s">
        <v>320</v>
      </c>
      <c r="B93" s="16" t="s">
        <v>321</v>
      </c>
      <c r="C93" s="16" t="s">
        <v>195</v>
      </c>
      <c r="D93" s="16" t="s">
        <v>322</v>
      </c>
      <c r="E93" s="16"/>
      <c r="F93" s="28">
        <v>10000</v>
      </c>
      <c r="G93" s="28">
        <v>10000</v>
      </c>
      <c r="H93" s="28">
        <v>10000</v>
      </c>
      <c r="I93" s="28"/>
      <c r="J93" s="28"/>
      <c r="K93" s="28"/>
      <c r="L93" s="28"/>
      <c r="M93" s="28"/>
      <c r="N93" s="28"/>
      <c r="O93" s="28"/>
      <c r="P93" s="28"/>
      <c r="Q93" s="28"/>
      <c r="R93" s="28">
        <f t="shared" si="2"/>
        <v>30000</v>
      </c>
      <c r="S93" s="22"/>
      <c r="T93" s="22"/>
      <c r="U93" s="22"/>
      <c r="V93" s="22"/>
      <c r="W93" s="22"/>
    </row>
    <row r="94" spans="1:23" x14ac:dyDescent="0.25">
      <c r="A94" s="16" t="s">
        <v>323</v>
      </c>
      <c r="B94" s="16" t="s">
        <v>324</v>
      </c>
      <c r="C94" s="16" t="s">
        <v>195</v>
      </c>
      <c r="D94" s="16" t="s">
        <v>325</v>
      </c>
      <c r="E94" s="16"/>
      <c r="F94" s="28">
        <v>10000</v>
      </c>
      <c r="G94" s="28">
        <v>10000</v>
      </c>
      <c r="H94" s="28">
        <v>10000</v>
      </c>
      <c r="I94" s="28"/>
      <c r="J94" s="28"/>
      <c r="K94" s="28"/>
      <c r="L94" s="28"/>
      <c r="M94" s="28"/>
      <c r="N94" s="28"/>
      <c r="O94" s="28"/>
      <c r="P94" s="28"/>
      <c r="Q94" s="28"/>
      <c r="R94" s="28">
        <f t="shared" si="2"/>
        <v>30000</v>
      </c>
      <c r="S94" s="22"/>
      <c r="T94" s="22"/>
      <c r="U94" s="22"/>
      <c r="V94" s="22"/>
      <c r="W94" s="22"/>
    </row>
    <row r="95" spans="1:23" x14ac:dyDescent="0.25">
      <c r="A95" s="16" t="s">
        <v>327</v>
      </c>
      <c r="B95" s="16" t="s">
        <v>328</v>
      </c>
      <c r="C95" s="16" t="s">
        <v>195</v>
      </c>
      <c r="D95" s="16" t="s">
        <v>329</v>
      </c>
      <c r="E95" s="16"/>
      <c r="F95" s="28">
        <v>20000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>
        <f t="shared" si="2"/>
        <v>20000</v>
      </c>
      <c r="S95" s="22"/>
      <c r="T95" s="22"/>
      <c r="U95" s="22"/>
      <c r="V95" s="22"/>
      <c r="W95" s="22"/>
    </row>
    <row r="96" spans="1:23" x14ac:dyDescent="0.25">
      <c r="A96" s="16" t="s">
        <v>330</v>
      </c>
      <c r="B96" s="16" t="s">
        <v>331</v>
      </c>
      <c r="C96" s="16" t="s">
        <v>195</v>
      </c>
      <c r="D96" s="16" t="s">
        <v>332</v>
      </c>
      <c r="E96" s="16"/>
      <c r="F96" s="28"/>
      <c r="G96" s="28">
        <v>10000</v>
      </c>
      <c r="H96" s="28">
        <v>10000</v>
      </c>
      <c r="I96" s="28"/>
      <c r="J96" s="28"/>
      <c r="K96" s="28"/>
      <c r="L96" s="28"/>
      <c r="M96" s="28"/>
      <c r="N96" s="28"/>
      <c r="O96" s="28"/>
      <c r="P96" s="28"/>
      <c r="Q96" s="28"/>
      <c r="R96" s="28">
        <f t="shared" si="2"/>
        <v>20000</v>
      </c>
      <c r="S96" s="22"/>
      <c r="T96" s="22"/>
      <c r="U96" s="22"/>
      <c r="V96" s="22"/>
      <c r="W96" s="22"/>
    </row>
    <row r="97" spans="1:23" x14ac:dyDescent="0.25">
      <c r="A97" s="16" t="s">
        <v>333</v>
      </c>
      <c r="B97" s="16" t="s">
        <v>334</v>
      </c>
      <c r="C97" s="16" t="s">
        <v>195</v>
      </c>
      <c r="D97" s="16" t="s">
        <v>335</v>
      </c>
      <c r="E97" s="16"/>
      <c r="F97" s="28"/>
      <c r="G97" s="28"/>
      <c r="H97" s="28">
        <v>10000</v>
      </c>
      <c r="I97" s="28"/>
      <c r="J97" s="28"/>
      <c r="K97" s="28"/>
      <c r="L97" s="28"/>
      <c r="M97" s="28"/>
      <c r="N97" s="28"/>
      <c r="O97" s="28"/>
      <c r="P97" s="28"/>
      <c r="Q97" s="28"/>
      <c r="R97" s="28">
        <f t="shared" si="2"/>
        <v>10000</v>
      </c>
      <c r="S97" s="22"/>
      <c r="T97" s="22"/>
      <c r="U97" s="22"/>
      <c r="V97" s="22"/>
      <c r="W97" s="22"/>
    </row>
    <row r="98" spans="1:23" x14ac:dyDescent="0.25">
      <c r="A98" s="16" t="s">
        <v>336</v>
      </c>
      <c r="B98" s="16" t="s">
        <v>549</v>
      </c>
      <c r="C98" s="16" t="s">
        <v>195</v>
      </c>
      <c r="D98" s="16" t="s">
        <v>338</v>
      </c>
      <c r="E98" s="17" t="s">
        <v>339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>
        <f t="shared" si="2"/>
        <v>0</v>
      </c>
      <c r="S98" s="22"/>
      <c r="T98" s="22"/>
      <c r="U98" s="22"/>
      <c r="V98" s="22"/>
      <c r="W98" s="22"/>
    </row>
    <row r="99" spans="1:23" x14ac:dyDescent="0.25">
      <c r="A99" s="16" t="s">
        <v>340</v>
      </c>
      <c r="B99" s="16" t="s">
        <v>341</v>
      </c>
      <c r="C99" s="16" t="s">
        <v>195</v>
      </c>
      <c r="D99" s="16" t="s">
        <v>342</v>
      </c>
      <c r="E99" s="17" t="s">
        <v>343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>
        <f t="shared" ref="R99:R130" si="3">SUM(F99:Q99)</f>
        <v>0</v>
      </c>
      <c r="S99" s="22"/>
      <c r="T99" s="22"/>
      <c r="U99" s="22"/>
      <c r="V99" s="22"/>
      <c r="W99" s="22"/>
    </row>
    <row r="100" spans="1:23" x14ac:dyDescent="0.25">
      <c r="A100" s="16" t="s">
        <v>344</v>
      </c>
      <c r="B100" s="16" t="s">
        <v>345</v>
      </c>
      <c r="C100" s="16" t="s">
        <v>195</v>
      </c>
      <c r="D100" s="16" t="s">
        <v>346</v>
      </c>
      <c r="E100" s="17" t="s">
        <v>347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>
        <f t="shared" si="3"/>
        <v>0</v>
      </c>
      <c r="S100" s="22"/>
      <c r="T100" s="22"/>
      <c r="U100" s="22"/>
      <c r="V100" s="22"/>
      <c r="W100" s="22"/>
    </row>
    <row r="101" spans="1:23" x14ac:dyDescent="0.25">
      <c r="A101" s="16" t="s">
        <v>348</v>
      </c>
      <c r="B101" s="16" t="s">
        <v>349</v>
      </c>
      <c r="C101" s="16" t="s">
        <v>195</v>
      </c>
      <c r="D101" s="16" t="s">
        <v>350</v>
      </c>
      <c r="E101" s="17" t="s">
        <v>351</v>
      </c>
      <c r="F101" s="28">
        <v>10000</v>
      </c>
      <c r="G101" s="28">
        <v>10000</v>
      </c>
      <c r="H101" s="28">
        <v>10000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>
        <f t="shared" si="3"/>
        <v>30000</v>
      </c>
      <c r="S101" s="22"/>
      <c r="T101" s="22"/>
      <c r="U101" s="22"/>
      <c r="V101" s="22"/>
      <c r="W101" s="22"/>
    </row>
    <row r="102" spans="1:23" x14ac:dyDescent="0.25">
      <c r="A102" s="16" t="s">
        <v>352</v>
      </c>
      <c r="B102" s="16" t="s">
        <v>353</v>
      </c>
      <c r="C102" s="16" t="s">
        <v>195</v>
      </c>
      <c r="D102" s="16" t="s">
        <v>354</v>
      </c>
      <c r="E102" s="17" t="s">
        <v>355</v>
      </c>
      <c r="F102" s="28">
        <v>10000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>
        <f t="shared" si="3"/>
        <v>10000</v>
      </c>
      <c r="S102" s="22"/>
      <c r="T102" s="22"/>
      <c r="U102" s="22"/>
      <c r="V102" s="22"/>
      <c r="W102" s="22"/>
    </row>
    <row r="103" spans="1:23" x14ac:dyDescent="0.25">
      <c r="A103" s="16" t="s">
        <v>356</v>
      </c>
      <c r="B103" s="16" t="s">
        <v>357</v>
      </c>
      <c r="C103" s="16" t="s">
        <v>195</v>
      </c>
      <c r="D103" s="16" t="s">
        <v>358</v>
      </c>
      <c r="E103" s="16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>
        <f t="shared" si="3"/>
        <v>0</v>
      </c>
      <c r="S103" s="22"/>
      <c r="T103" s="22"/>
      <c r="U103" s="22"/>
      <c r="V103" s="22"/>
      <c r="W103" s="22"/>
    </row>
    <row r="104" spans="1:23" x14ac:dyDescent="0.25">
      <c r="A104" s="16" t="s">
        <v>359</v>
      </c>
      <c r="B104" s="16" t="s">
        <v>360</v>
      </c>
      <c r="C104" s="16" t="s">
        <v>195</v>
      </c>
      <c r="D104" s="16" t="s">
        <v>361</v>
      </c>
      <c r="E104" s="17" t="s">
        <v>362</v>
      </c>
      <c r="F104" s="28">
        <v>10000</v>
      </c>
      <c r="G104" s="28">
        <v>10000</v>
      </c>
      <c r="H104" s="28">
        <v>10000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>
        <f t="shared" si="3"/>
        <v>30000</v>
      </c>
      <c r="S104" s="22"/>
      <c r="T104" s="22"/>
      <c r="U104" s="22"/>
      <c r="V104" s="22"/>
      <c r="W104" s="22"/>
    </row>
    <row r="105" spans="1:23" x14ac:dyDescent="0.25">
      <c r="A105" s="16" t="s">
        <v>363</v>
      </c>
      <c r="B105" s="16" t="s">
        <v>364</v>
      </c>
      <c r="C105" s="16" t="s">
        <v>195</v>
      </c>
      <c r="D105" s="16" t="s">
        <v>365</v>
      </c>
      <c r="E105" s="17" t="s">
        <v>366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>
        <f t="shared" si="3"/>
        <v>0</v>
      </c>
      <c r="S105" s="22"/>
      <c r="T105" s="22"/>
      <c r="U105" s="22"/>
      <c r="V105" s="22"/>
      <c r="W105" s="22"/>
    </row>
    <row r="106" spans="1:23" x14ac:dyDescent="0.25">
      <c r="A106" s="16" t="s">
        <v>367</v>
      </c>
      <c r="B106" s="16" t="s">
        <v>368</v>
      </c>
      <c r="C106" s="16" t="s">
        <v>195</v>
      </c>
      <c r="D106" s="16" t="s">
        <v>369</v>
      </c>
      <c r="E106" s="17" t="s">
        <v>370</v>
      </c>
      <c r="F106" s="28">
        <v>10000</v>
      </c>
      <c r="G106" s="28">
        <v>10000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f t="shared" si="3"/>
        <v>20000</v>
      </c>
      <c r="S106" s="22"/>
      <c r="T106" s="22"/>
      <c r="U106" s="22"/>
      <c r="V106" s="22"/>
      <c r="W106" s="22"/>
    </row>
    <row r="107" spans="1:23" x14ac:dyDescent="0.25">
      <c r="A107" s="16" t="s">
        <v>371</v>
      </c>
      <c r="B107" s="16" t="s">
        <v>372</v>
      </c>
      <c r="C107" s="16" t="s">
        <v>195</v>
      </c>
      <c r="D107" s="16" t="s">
        <v>373</v>
      </c>
      <c r="E107" s="16"/>
      <c r="F107" s="28">
        <v>10000</v>
      </c>
      <c r="G107" s="28">
        <v>10000</v>
      </c>
      <c r="H107" s="28">
        <v>10000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>
        <f t="shared" si="3"/>
        <v>30000</v>
      </c>
      <c r="S107" s="22"/>
      <c r="T107" s="22"/>
      <c r="U107" s="22"/>
      <c r="V107" s="22"/>
      <c r="W107" s="22"/>
    </row>
    <row r="108" spans="1:23" x14ac:dyDescent="0.25">
      <c r="A108" s="16" t="s">
        <v>374</v>
      </c>
      <c r="B108" s="16" t="s">
        <v>375</v>
      </c>
      <c r="C108" s="16" t="s">
        <v>376</v>
      </c>
      <c r="D108" s="16" t="s">
        <v>377</v>
      </c>
      <c r="E108" s="16"/>
      <c r="F108" s="28">
        <v>10000</v>
      </c>
      <c r="G108" s="28">
        <v>10000</v>
      </c>
      <c r="H108" s="28">
        <v>10000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f t="shared" si="3"/>
        <v>30000</v>
      </c>
      <c r="S108" s="22"/>
      <c r="T108" s="22"/>
      <c r="U108" s="22"/>
      <c r="V108" s="22"/>
      <c r="W108" s="22"/>
    </row>
    <row r="109" spans="1:23" x14ac:dyDescent="0.25">
      <c r="A109" s="16" t="s">
        <v>378</v>
      </c>
      <c r="B109" s="16" t="s">
        <v>379</v>
      </c>
      <c r="C109" s="16" t="s">
        <v>380</v>
      </c>
      <c r="D109" s="16" t="s">
        <v>381</v>
      </c>
      <c r="E109" s="17" t="s">
        <v>382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f t="shared" si="3"/>
        <v>0</v>
      </c>
      <c r="S109" s="22"/>
      <c r="T109" s="22"/>
      <c r="U109" s="22"/>
      <c r="V109" s="22"/>
      <c r="W109" s="22"/>
    </row>
    <row r="110" spans="1:23" x14ac:dyDescent="0.25">
      <c r="A110" s="16" t="s">
        <v>383</v>
      </c>
      <c r="B110" s="16" t="s">
        <v>384</v>
      </c>
      <c r="C110" s="16" t="s">
        <v>380</v>
      </c>
      <c r="D110" s="16" t="s">
        <v>385</v>
      </c>
      <c r="E110" s="17" t="s">
        <v>386</v>
      </c>
      <c r="F110" s="28">
        <v>10000</v>
      </c>
      <c r="G110" s="28">
        <v>10000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>
        <f t="shared" si="3"/>
        <v>20000</v>
      </c>
      <c r="S110" s="22"/>
      <c r="T110" s="22"/>
      <c r="U110" s="22"/>
      <c r="V110" s="22"/>
      <c r="W110" s="22"/>
    </row>
    <row r="111" spans="1:23" x14ac:dyDescent="0.25">
      <c r="A111" s="16" t="s">
        <v>387</v>
      </c>
      <c r="B111" s="16" t="s">
        <v>388</v>
      </c>
      <c r="C111" s="16" t="s">
        <v>380</v>
      </c>
      <c r="D111" s="16" t="s">
        <v>389</v>
      </c>
      <c r="E111" s="17" t="s">
        <v>390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>
        <f t="shared" si="3"/>
        <v>0</v>
      </c>
      <c r="S111" s="22"/>
      <c r="T111" s="22"/>
      <c r="U111" s="22"/>
      <c r="V111" s="22"/>
      <c r="W111" s="22"/>
    </row>
    <row r="112" spans="1:23" x14ac:dyDescent="0.25">
      <c r="A112" s="16" t="s">
        <v>391</v>
      </c>
      <c r="B112" s="16" t="s">
        <v>392</v>
      </c>
      <c r="C112" s="16" t="s">
        <v>380</v>
      </c>
      <c r="D112" s="16" t="s">
        <v>393</v>
      </c>
      <c r="E112" s="17" t="s">
        <v>394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>
        <f t="shared" si="3"/>
        <v>0</v>
      </c>
      <c r="S112" s="22"/>
      <c r="T112" s="22"/>
      <c r="U112" s="22"/>
      <c r="V112" s="22"/>
      <c r="W112" s="22"/>
    </row>
    <row r="113" spans="1:23" x14ac:dyDescent="0.25">
      <c r="A113" s="16" t="s">
        <v>395</v>
      </c>
      <c r="B113" s="16" t="s">
        <v>396</v>
      </c>
      <c r="C113" s="16" t="s">
        <v>380</v>
      </c>
      <c r="D113" s="16" t="s">
        <v>397</v>
      </c>
      <c r="E113" s="17" t="s">
        <v>398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>
        <f t="shared" si="3"/>
        <v>0</v>
      </c>
      <c r="S113" s="22"/>
      <c r="T113" s="22"/>
      <c r="U113" s="22"/>
      <c r="V113" s="22"/>
      <c r="W113" s="22"/>
    </row>
    <row r="114" spans="1:23" x14ac:dyDescent="0.25">
      <c r="A114" s="16" t="s">
        <v>399</v>
      </c>
      <c r="B114" s="16" t="s">
        <v>400</v>
      </c>
      <c r="C114" s="16" t="s">
        <v>380</v>
      </c>
      <c r="D114" s="16" t="s">
        <v>401</v>
      </c>
      <c r="E114" s="17" t="s">
        <v>402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>
        <f t="shared" si="3"/>
        <v>0</v>
      </c>
      <c r="S114" s="22"/>
      <c r="T114" s="22"/>
      <c r="U114" s="22"/>
      <c r="V114" s="22"/>
      <c r="W114" s="22"/>
    </row>
    <row r="115" spans="1:23" x14ac:dyDescent="0.25">
      <c r="A115" s="16" t="s">
        <v>403</v>
      </c>
      <c r="B115" s="16" t="s">
        <v>550</v>
      </c>
      <c r="C115" s="16" t="s">
        <v>380</v>
      </c>
      <c r="D115" s="16" t="s">
        <v>405</v>
      </c>
      <c r="E115" s="16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>
        <f t="shared" si="3"/>
        <v>0</v>
      </c>
      <c r="S115" s="22"/>
      <c r="T115" s="22"/>
      <c r="U115" s="22"/>
      <c r="V115" s="22"/>
      <c r="W115" s="22"/>
    </row>
    <row r="116" spans="1:23" x14ac:dyDescent="0.25">
      <c r="A116" s="16" t="s">
        <v>406</v>
      </c>
      <c r="B116" s="16" t="s">
        <v>551</v>
      </c>
      <c r="C116" s="16" t="s">
        <v>380</v>
      </c>
      <c r="D116" s="16" t="s">
        <v>408</v>
      </c>
      <c r="E116" s="16"/>
      <c r="F116" s="28">
        <v>10000</v>
      </c>
      <c r="G116" s="28">
        <v>10000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>
        <f t="shared" si="3"/>
        <v>20000</v>
      </c>
      <c r="S116" s="22"/>
      <c r="T116" s="22"/>
      <c r="U116" s="22"/>
      <c r="V116" s="22"/>
      <c r="W116" s="22"/>
    </row>
    <row r="117" spans="1:23" x14ac:dyDescent="0.25">
      <c r="A117" s="16" t="s">
        <v>409</v>
      </c>
      <c r="B117" s="16" t="s">
        <v>198</v>
      </c>
      <c r="C117" s="16" t="s">
        <v>380</v>
      </c>
      <c r="D117" s="16" t="s">
        <v>410</v>
      </c>
      <c r="E117" s="16"/>
      <c r="F117" s="28">
        <v>10000</v>
      </c>
      <c r="G117" s="28">
        <v>10000</v>
      </c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>
        <f t="shared" si="3"/>
        <v>20000</v>
      </c>
      <c r="S117" s="22"/>
      <c r="T117" s="22"/>
      <c r="U117" s="22"/>
      <c r="V117" s="22"/>
      <c r="W117" s="22"/>
    </row>
    <row r="118" spans="1:23" x14ac:dyDescent="0.25">
      <c r="A118" s="16" t="s">
        <v>411</v>
      </c>
      <c r="B118" s="16" t="s">
        <v>412</v>
      </c>
      <c r="C118" s="16" t="s">
        <v>413</v>
      </c>
      <c r="D118" s="16" t="s">
        <v>101</v>
      </c>
      <c r="E118" s="17" t="s">
        <v>414</v>
      </c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>
        <f t="shared" si="3"/>
        <v>0</v>
      </c>
      <c r="S118" s="22"/>
      <c r="T118" s="22"/>
      <c r="U118" s="22"/>
      <c r="V118" s="22"/>
      <c r="W118" s="22"/>
    </row>
    <row r="119" spans="1:23" x14ac:dyDescent="0.25">
      <c r="A119" s="16" t="s">
        <v>415</v>
      </c>
      <c r="B119" s="16" t="s">
        <v>552</v>
      </c>
      <c r="C119" s="16" t="s">
        <v>413</v>
      </c>
      <c r="D119" s="16" t="s">
        <v>109</v>
      </c>
      <c r="E119" s="17" t="s">
        <v>417</v>
      </c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>
        <f t="shared" si="3"/>
        <v>0</v>
      </c>
      <c r="S119" s="22"/>
      <c r="T119" s="22"/>
      <c r="U119" s="22"/>
      <c r="V119" s="22"/>
      <c r="W119" s="22"/>
    </row>
    <row r="120" spans="1:23" x14ac:dyDescent="0.25">
      <c r="A120" s="16" t="s">
        <v>418</v>
      </c>
      <c r="B120" s="16" t="s">
        <v>419</v>
      </c>
      <c r="C120" s="16" t="s">
        <v>413</v>
      </c>
      <c r="D120" s="16" t="s">
        <v>420</v>
      </c>
      <c r="E120" s="17" t="s">
        <v>421</v>
      </c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>
        <f t="shared" si="3"/>
        <v>0</v>
      </c>
      <c r="S120" s="22"/>
      <c r="T120" s="22"/>
      <c r="U120" s="22"/>
      <c r="V120" s="22"/>
      <c r="W120" s="22"/>
    </row>
    <row r="121" spans="1:23" x14ac:dyDescent="0.25">
      <c r="A121" s="16" t="s">
        <v>422</v>
      </c>
      <c r="B121" s="16" t="s">
        <v>423</v>
      </c>
      <c r="C121" s="16" t="s">
        <v>413</v>
      </c>
      <c r="D121" s="16" t="s">
        <v>420</v>
      </c>
      <c r="E121" s="17" t="s">
        <v>424</v>
      </c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>
        <f t="shared" si="3"/>
        <v>0</v>
      </c>
      <c r="S121" s="22"/>
      <c r="T121" s="22"/>
      <c r="U121" s="22"/>
      <c r="V121" s="22"/>
      <c r="W121" s="22"/>
    </row>
    <row r="122" spans="1:23" x14ac:dyDescent="0.25">
      <c r="A122" s="16" t="s">
        <v>425</v>
      </c>
      <c r="B122" s="16" t="s">
        <v>426</v>
      </c>
      <c r="C122" s="16" t="s">
        <v>413</v>
      </c>
      <c r="D122" s="16" t="s">
        <v>246</v>
      </c>
      <c r="E122" s="17" t="s">
        <v>427</v>
      </c>
      <c r="F122" s="28">
        <v>10000</v>
      </c>
      <c r="G122" s="28">
        <v>10000</v>
      </c>
      <c r="H122" s="28">
        <v>10000</v>
      </c>
      <c r="I122" s="28">
        <v>10000</v>
      </c>
      <c r="J122" s="28">
        <v>10000</v>
      </c>
      <c r="K122" s="28"/>
      <c r="L122" s="28"/>
      <c r="M122" s="28"/>
      <c r="N122" s="28"/>
      <c r="O122" s="28"/>
      <c r="P122" s="28"/>
      <c r="Q122" s="28"/>
      <c r="R122" s="28">
        <f t="shared" si="3"/>
        <v>50000</v>
      </c>
      <c r="S122" s="22"/>
      <c r="T122" s="22"/>
      <c r="U122" s="22"/>
      <c r="V122" s="22"/>
      <c r="W122" s="22"/>
    </row>
    <row r="123" spans="1:23" x14ac:dyDescent="0.25">
      <c r="A123" s="16" t="s">
        <v>428</v>
      </c>
      <c r="B123" s="16" t="s">
        <v>429</v>
      </c>
      <c r="C123" s="16" t="s">
        <v>413</v>
      </c>
      <c r="D123" s="16" t="s">
        <v>430</v>
      </c>
      <c r="E123" s="17" t="s">
        <v>431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>
        <f t="shared" si="3"/>
        <v>0</v>
      </c>
      <c r="S123" s="22"/>
      <c r="T123" s="22"/>
      <c r="U123" s="22"/>
      <c r="V123" s="22"/>
      <c r="W123" s="22"/>
    </row>
    <row r="124" spans="1:23" x14ac:dyDescent="0.25">
      <c r="A124" s="16" t="s">
        <v>432</v>
      </c>
      <c r="B124" s="16" t="s">
        <v>433</v>
      </c>
      <c r="C124" s="16" t="s">
        <v>413</v>
      </c>
      <c r="D124" s="16" t="s">
        <v>434</v>
      </c>
      <c r="E124" s="17" t="s">
        <v>435</v>
      </c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>
        <f t="shared" si="3"/>
        <v>0</v>
      </c>
      <c r="S124" s="22"/>
      <c r="T124" s="22"/>
      <c r="U124" s="22"/>
      <c r="V124" s="22"/>
      <c r="W124" s="22"/>
    </row>
    <row r="125" spans="1:23" x14ac:dyDescent="0.25">
      <c r="A125" s="16" t="s">
        <v>436</v>
      </c>
      <c r="B125" s="16" t="s">
        <v>553</v>
      </c>
      <c r="C125" s="16" t="s">
        <v>413</v>
      </c>
      <c r="D125" s="16" t="s">
        <v>306</v>
      </c>
      <c r="E125" s="17" t="s">
        <v>438</v>
      </c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>
        <f t="shared" si="3"/>
        <v>0</v>
      </c>
      <c r="S125" s="22"/>
      <c r="T125" s="22"/>
      <c r="U125" s="22"/>
      <c r="V125" s="22"/>
      <c r="W125" s="22"/>
    </row>
    <row r="126" spans="1:23" x14ac:dyDescent="0.25">
      <c r="A126" s="16" t="s">
        <v>439</v>
      </c>
      <c r="B126" s="16" t="s">
        <v>440</v>
      </c>
      <c r="C126" s="16" t="s">
        <v>413</v>
      </c>
      <c r="D126" s="16" t="s">
        <v>441</v>
      </c>
      <c r="E126" s="17" t="s">
        <v>442</v>
      </c>
      <c r="F126" s="28">
        <v>10000</v>
      </c>
      <c r="G126" s="28">
        <v>10000</v>
      </c>
      <c r="H126" s="28">
        <v>10000</v>
      </c>
      <c r="I126" s="28">
        <v>10000</v>
      </c>
      <c r="J126" s="28">
        <v>10000</v>
      </c>
      <c r="K126" s="28">
        <v>10000</v>
      </c>
      <c r="L126" s="28"/>
      <c r="M126" s="28"/>
      <c r="N126" s="28"/>
      <c r="O126" s="28"/>
      <c r="P126" s="28"/>
      <c r="Q126" s="28"/>
      <c r="R126" s="28">
        <f t="shared" si="3"/>
        <v>60000</v>
      </c>
      <c r="S126" s="22"/>
      <c r="T126" s="22"/>
      <c r="U126" s="22"/>
      <c r="V126" s="22"/>
      <c r="W126" s="22"/>
    </row>
    <row r="127" spans="1:23" x14ac:dyDescent="0.25">
      <c r="A127" s="16" t="s">
        <v>443</v>
      </c>
      <c r="B127" s="16" t="s">
        <v>444</v>
      </c>
      <c r="C127" s="16" t="s">
        <v>413</v>
      </c>
      <c r="D127" s="16" t="s">
        <v>281</v>
      </c>
      <c r="E127" s="17" t="s">
        <v>446</v>
      </c>
      <c r="F127" s="28">
        <v>10000</v>
      </c>
      <c r="G127" s="28">
        <v>10000</v>
      </c>
      <c r="H127" s="28">
        <v>10000</v>
      </c>
      <c r="I127" s="28">
        <v>10000</v>
      </c>
      <c r="J127" s="28">
        <v>10000</v>
      </c>
      <c r="K127" s="28">
        <v>10000</v>
      </c>
      <c r="L127" s="28"/>
      <c r="M127" s="28"/>
      <c r="N127" s="28"/>
      <c r="O127" s="28"/>
      <c r="P127" s="28"/>
      <c r="Q127" s="28"/>
      <c r="R127" s="28">
        <f t="shared" si="3"/>
        <v>60000</v>
      </c>
      <c r="S127" s="22"/>
      <c r="T127" s="22"/>
      <c r="U127" s="22"/>
      <c r="V127" s="22"/>
      <c r="W127" s="22"/>
    </row>
    <row r="128" spans="1:23" x14ac:dyDescent="0.25">
      <c r="A128" s="16" t="s">
        <v>447</v>
      </c>
      <c r="B128" s="16" t="s">
        <v>451</v>
      </c>
      <c r="C128" s="16" t="s">
        <v>195</v>
      </c>
      <c r="D128" s="16"/>
      <c r="E128" s="17" t="s">
        <v>452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>
        <f t="shared" si="3"/>
        <v>0</v>
      </c>
      <c r="S128" s="22"/>
      <c r="T128" s="22"/>
      <c r="U128" s="22"/>
      <c r="V128" s="22"/>
      <c r="W128" s="22"/>
    </row>
    <row r="129" spans="1:23" x14ac:dyDescent="0.25">
      <c r="A129" s="16" t="s">
        <v>450</v>
      </c>
      <c r="B129" s="16" t="s">
        <v>456</v>
      </c>
      <c r="C129" s="16" t="s">
        <v>195</v>
      </c>
      <c r="D129" s="16" t="s">
        <v>457</v>
      </c>
      <c r="E129" s="16"/>
      <c r="F129" s="28">
        <v>10000</v>
      </c>
      <c r="G129" s="28">
        <v>10000</v>
      </c>
      <c r="H129" s="28">
        <v>10000</v>
      </c>
      <c r="I129" s="28"/>
      <c r="J129" s="28"/>
      <c r="K129" s="28"/>
      <c r="L129" s="28"/>
      <c r="M129" s="28"/>
      <c r="N129" s="28"/>
      <c r="O129" s="28"/>
      <c r="P129" s="28"/>
      <c r="Q129" s="28"/>
      <c r="R129" s="28">
        <f t="shared" si="3"/>
        <v>30000</v>
      </c>
      <c r="S129" s="22"/>
      <c r="T129" s="22"/>
      <c r="U129" s="22"/>
      <c r="V129" s="22"/>
      <c r="W129" s="22"/>
    </row>
    <row r="130" spans="1:23" x14ac:dyDescent="0.25">
      <c r="A130" s="16" t="s">
        <v>453</v>
      </c>
      <c r="B130" s="16" t="s">
        <v>454</v>
      </c>
      <c r="C130" s="16" t="s">
        <v>376</v>
      </c>
      <c r="D130" s="16" t="s">
        <v>97</v>
      </c>
      <c r="E130" s="16"/>
      <c r="F130" s="28">
        <v>10000</v>
      </c>
      <c r="G130" s="28">
        <v>10000</v>
      </c>
      <c r="H130" s="28">
        <v>10000</v>
      </c>
      <c r="I130" s="28"/>
      <c r="J130" s="28"/>
      <c r="K130" s="28"/>
      <c r="L130" s="28"/>
      <c r="M130" s="28"/>
      <c r="N130" s="28"/>
      <c r="O130" s="28"/>
      <c r="P130" s="28"/>
      <c r="Q130" s="28"/>
      <c r="R130" s="28">
        <f t="shared" si="3"/>
        <v>30000</v>
      </c>
      <c r="S130" s="22"/>
      <c r="T130" s="22"/>
      <c r="U130" s="22"/>
      <c r="V130" s="22"/>
      <c r="W130" s="22"/>
    </row>
    <row r="131" spans="1:23" x14ac:dyDescent="0.25">
      <c r="A131" s="16" t="s">
        <v>455</v>
      </c>
      <c r="B131" s="16" t="s">
        <v>459</v>
      </c>
      <c r="C131" s="16" t="s">
        <v>195</v>
      </c>
      <c r="D131" s="16" t="s">
        <v>460</v>
      </c>
      <c r="E131" s="16"/>
      <c r="F131" s="28">
        <v>10000</v>
      </c>
      <c r="G131" s="28">
        <v>10000</v>
      </c>
      <c r="H131" s="28">
        <v>10000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>
        <f t="shared" ref="R131:R149" si="4">SUM(F131:Q131)</f>
        <v>30000</v>
      </c>
      <c r="S131" s="22"/>
      <c r="T131" s="22"/>
      <c r="U131" s="22"/>
      <c r="V131" s="22"/>
      <c r="W131" s="22"/>
    </row>
    <row r="132" spans="1:23" x14ac:dyDescent="0.25">
      <c r="A132" s="16" t="s">
        <v>458</v>
      </c>
      <c r="B132" s="16" t="s">
        <v>462</v>
      </c>
      <c r="C132" s="16" t="s">
        <v>195</v>
      </c>
      <c r="D132" s="16" t="s">
        <v>463</v>
      </c>
      <c r="E132" s="16"/>
      <c r="F132" s="28">
        <v>10000</v>
      </c>
      <c r="G132" s="28">
        <v>10000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>
        <f t="shared" si="4"/>
        <v>20000</v>
      </c>
      <c r="S132" s="22"/>
      <c r="T132" s="22"/>
      <c r="U132" s="22"/>
      <c r="V132" s="22"/>
      <c r="W132" s="22"/>
    </row>
    <row r="133" spans="1:23" x14ac:dyDescent="0.25">
      <c r="A133" s="16" t="s">
        <v>461</v>
      </c>
      <c r="B133" s="16" t="s">
        <v>465</v>
      </c>
      <c r="C133" s="16" t="s">
        <v>195</v>
      </c>
      <c r="D133" s="16" t="s">
        <v>466</v>
      </c>
      <c r="E133" s="16"/>
      <c r="F133" s="28"/>
      <c r="G133" s="28"/>
      <c r="H133" s="28">
        <v>10000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>
        <f t="shared" si="4"/>
        <v>10000</v>
      </c>
      <c r="S133" s="22"/>
      <c r="T133" s="22"/>
      <c r="U133" s="22"/>
      <c r="V133" s="22"/>
      <c r="W133" s="22"/>
    </row>
    <row r="134" spans="1:23" x14ac:dyDescent="0.25">
      <c r="A134" s="16" t="s">
        <v>464</v>
      </c>
      <c r="B134" s="16" t="s">
        <v>468</v>
      </c>
      <c r="C134" s="16" t="s">
        <v>195</v>
      </c>
      <c r="D134" s="16" t="s">
        <v>469</v>
      </c>
      <c r="E134" s="16"/>
      <c r="F134" s="28">
        <v>10000</v>
      </c>
      <c r="G134" s="28">
        <v>10000</v>
      </c>
      <c r="H134" s="28">
        <v>10000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f t="shared" si="4"/>
        <v>30000</v>
      </c>
      <c r="S134" s="22"/>
      <c r="T134" s="22"/>
      <c r="U134" s="22"/>
      <c r="V134" s="22"/>
      <c r="W134" s="22"/>
    </row>
    <row r="135" spans="1:23" x14ac:dyDescent="0.25">
      <c r="A135" s="16" t="s">
        <v>467</v>
      </c>
      <c r="B135" t="s">
        <v>471</v>
      </c>
      <c r="C135" t="s">
        <v>195</v>
      </c>
      <c r="D135" t="s">
        <v>472</v>
      </c>
      <c r="F135" s="22">
        <v>10000</v>
      </c>
      <c r="G135" s="22">
        <v>10000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8">
        <f t="shared" si="4"/>
        <v>20000</v>
      </c>
      <c r="S135" s="22"/>
      <c r="T135" s="22"/>
      <c r="U135" s="22"/>
      <c r="V135" s="22"/>
      <c r="W135" s="22"/>
    </row>
    <row r="136" spans="1:23" x14ac:dyDescent="0.25">
      <c r="A136" s="16" t="s">
        <v>470</v>
      </c>
      <c r="B136" t="s">
        <v>474</v>
      </c>
      <c r="C136" t="s">
        <v>195</v>
      </c>
      <c r="D136" t="s">
        <v>475</v>
      </c>
      <c r="F136" s="22">
        <v>10000</v>
      </c>
      <c r="G136" s="22">
        <v>10000</v>
      </c>
      <c r="H136" s="22">
        <v>10000</v>
      </c>
      <c r="I136" s="22"/>
      <c r="J136" s="22"/>
      <c r="K136" s="22"/>
      <c r="L136" s="22"/>
      <c r="M136" s="22"/>
      <c r="N136" s="22"/>
      <c r="O136" s="22"/>
      <c r="P136" s="22"/>
      <c r="Q136" s="22"/>
      <c r="R136" s="28">
        <f t="shared" si="4"/>
        <v>30000</v>
      </c>
      <c r="S136" s="22"/>
      <c r="T136" s="22"/>
      <c r="U136" s="22"/>
      <c r="V136" s="22"/>
      <c r="W136" s="22"/>
    </row>
    <row r="137" spans="1:23" x14ac:dyDescent="0.25">
      <c r="A137" s="16" t="s">
        <v>473</v>
      </c>
      <c r="B137" t="s">
        <v>476</v>
      </c>
      <c r="C137" t="s">
        <v>195</v>
      </c>
      <c r="D137" t="s">
        <v>477</v>
      </c>
      <c r="E137" s="21"/>
      <c r="G137" s="22"/>
      <c r="H137" s="22">
        <v>10000</v>
      </c>
      <c r="I137" s="22"/>
      <c r="J137" s="22"/>
      <c r="K137" s="22"/>
      <c r="L137" s="22"/>
      <c r="M137" s="22"/>
      <c r="N137" s="22"/>
      <c r="O137" s="22"/>
      <c r="P137" s="22"/>
      <c r="Q137" s="22"/>
      <c r="R137" s="28">
        <f t="shared" si="4"/>
        <v>10000</v>
      </c>
      <c r="S137" s="22"/>
      <c r="T137" s="22"/>
      <c r="U137" s="22"/>
      <c r="V137" s="22"/>
      <c r="W137" s="22"/>
    </row>
    <row r="138" spans="1:23" x14ac:dyDescent="0.25">
      <c r="R138" s="28">
        <f t="shared" si="4"/>
        <v>0</v>
      </c>
    </row>
    <row r="139" spans="1:23" x14ac:dyDescent="0.25">
      <c r="R139" s="28">
        <f t="shared" si="4"/>
        <v>0</v>
      </c>
    </row>
    <row r="140" spans="1:23" x14ac:dyDescent="0.25">
      <c r="R140" s="28">
        <f t="shared" si="4"/>
        <v>0</v>
      </c>
    </row>
    <row r="141" spans="1:23" x14ac:dyDescent="0.25">
      <c r="R141" s="28">
        <f t="shared" si="4"/>
        <v>0</v>
      </c>
    </row>
    <row r="142" spans="1:23" x14ac:dyDescent="0.25">
      <c r="R142" s="28">
        <f t="shared" si="4"/>
        <v>0</v>
      </c>
    </row>
    <row r="143" spans="1:23" x14ac:dyDescent="0.25">
      <c r="R143" s="28">
        <f t="shared" si="4"/>
        <v>0</v>
      </c>
    </row>
    <row r="144" spans="1:23" x14ac:dyDescent="0.25">
      <c r="R144" s="28">
        <f t="shared" si="4"/>
        <v>0</v>
      </c>
    </row>
    <row r="145" spans="18:18" x14ac:dyDescent="0.25">
      <c r="R145" s="28">
        <f t="shared" si="4"/>
        <v>0</v>
      </c>
    </row>
    <row r="146" spans="18:18" x14ac:dyDescent="0.25">
      <c r="R146" s="28">
        <f t="shared" si="4"/>
        <v>0</v>
      </c>
    </row>
    <row r="147" spans="18:18" x14ac:dyDescent="0.25">
      <c r="R147" s="28">
        <f t="shared" si="4"/>
        <v>0</v>
      </c>
    </row>
    <row r="148" spans="18:18" x14ac:dyDescent="0.25">
      <c r="R148" s="28">
        <f t="shared" si="4"/>
        <v>0</v>
      </c>
    </row>
    <row r="149" spans="18:18" x14ac:dyDescent="0.25">
      <c r="R149" s="28">
        <f t="shared" si="4"/>
        <v>0</v>
      </c>
    </row>
  </sheetData>
  <autoFilter ref="A2:W149">
    <sortState ref="A5:U151">
      <sortCondition ref="A4:A151"/>
    </sortState>
  </autoFilter>
  <pageMargins left="0.25" right="0.25" top="0.75" bottom="0.75" header="0.3" footer="0.3"/>
  <pageSetup paperSize="9" orientation="landscape" blackAndWhite="1" r:id="rId1"/>
  <rowBreaks count="3" manualBreakCount="3">
    <brk id="54" max="16383" man="1"/>
    <brk id="118" max="16383" man="1"/>
    <brk id="126" max="10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I38"/>
  <sheetViews>
    <sheetView zoomScaleNormal="100" workbookViewId="0">
      <selection activeCell="B14" sqref="B14"/>
    </sheetView>
  </sheetViews>
  <sheetFormatPr defaultRowHeight="15" x14ac:dyDescent="0.25"/>
  <cols>
    <col min="2" max="2" width="14.7109375" style="20" customWidth="1"/>
    <col min="3" max="3" width="35.85546875" style="20" customWidth="1"/>
    <col min="4" max="5" width="14.7109375" style="22" customWidth="1"/>
    <col min="6" max="6" width="14.85546875" style="22" customWidth="1"/>
    <col min="9" max="9" width="11.5703125" style="20" bestFit="1" customWidth="1"/>
  </cols>
  <sheetData>
    <row r="1" spans="2:7" x14ac:dyDescent="0.25">
      <c r="B1" t="s">
        <v>482</v>
      </c>
    </row>
    <row r="3" spans="2:7" x14ac:dyDescent="0.25">
      <c r="B3" s="10" t="s">
        <v>483</v>
      </c>
      <c r="C3" s="11" t="s">
        <v>484</v>
      </c>
      <c r="D3" s="31" t="s">
        <v>485</v>
      </c>
      <c r="E3" s="32" t="s">
        <v>486</v>
      </c>
      <c r="F3" s="32" t="s">
        <v>487</v>
      </c>
    </row>
    <row r="4" spans="2:7" x14ac:dyDescent="0.25">
      <c r="B4" s="8"/>
      <c r="C4" s="16" t="s">
        <v>488</v>
      </c>
      <c r="D4" s="28"/>
      <c r="E4" s="33"/>
      <c r="F4" s="33">
        <v>18757000</v>
      </c>
    </row>
    <row r="5" spans="2:7" x14ac:dyDescent="0.25">
      <c r="B5" s="9">
        <v>45771</v>
      </c>
      <c r="C5" s="16" t="s">
        <v>489</v>
      </c>
      <c r="D5" s="28"/>
      <c r="E5" s="33">
        <v>200000</v>
      </c>
      <c r="F5" s="33">
        <f>F4-Table2[[#This Row],[Debet]]+Table2[[#This Row],[Credit]]</f>
        <v>18957000</v>
      </c>
    </row>
    <row r="6" spans="2:7" x14ac:dyDescent="0.25">
      <c r="B6" s="9">
        <v>45771</v>
      </c>
      <c r="C6" s="16" t="s">
        <v>490</v>
      </c>
      <c r="D6" s="28"/>
      <c r="E6" s="33">
        <v>1500000</v>
      </c>
      <c r="F6" s="33">
        <f>F5-Table2[[#This Row],[Debet]]+Table2[[#This Row],[Credit]]</f>
        <v>20457000</v>
      </c>
    </row>
    <row r="7" spans="2:7" x14ac:dyDescent="0.25">
      <c r="B7" s="9"/>
      <c r="C7" s="16"/>
      <c r="D7" s="28"/>
      <c r="E7" s="33"/>
      <c r="F7" s="33">
        <f>F6-Table2[[#This Row],[Debet]]+Table2[[#This Row],[Credit]]</f>
        <v>20457000</v>
      </c>
    </row>
    <row r="8" spans="2:7" x14ac:dyDescent="0.25">
      <c r="B8" s="9"/>
      <c r="C8" s="16"/>
      <c r="D8" s="28"/>
      <c r="E8" s="33"/>
      <c r="F8" s="33">
        <f>F7-Table2[[#This Row],[Debet]]+Table2[[#This Row],[Credit]]</f>
        <v>20457000</v>
      </c>
      <c r="G8" s="34"/>
    </row>
    <row r="9" spans="2:7" x14ac:dyDescent="0.25">
      <c r="B9" s="9"/>
      <c r="C9" s="16"/>
      <c r="D9" s="28"/>
      <c r="E9" s="33"/>
      <c r="F9" s="33">
        <f>F8-Table2[[#This Row],[Debet]]+Table2[[#This Row],[Credit]]</f>
        <v>20457000</v>
      </c>
    </row>
    <row r="10" spans="2:7" x14ac:dyDescent="0.25">
      <c r="B10" s="9"/>
      <c r="C10" s="16"/>
      <c r="D10" s="28"/>
      <c r="E10" s="33"/>
      <c r="F10" s="33">
        <f>F9-Table2[[#This Row],[Debet]]+Table2[[#This Row],[Credit]]</f>
        <v>20457000</v>
      </c>
    </row>
    <row r="11" spans="2:7" x14ac:dyDescent="0.25">
      <c r="B11" s="9"/>
      <c r="C11" s="16"/>
      <c r="D11" s="28"/>
      <c r="E11" s="33"/>
      <c r="F11" s="33">
        <f>F10-Table2[[#This Row],[Debet]]+Table2[[#This Row],[Credit]]</f>
        <v>20457000</v>
      </c>
    </row>
    <row r="12" spans="2:7" x14ac:dyDescent="0.25">
      <c r="B12" s="9"/>
      <c r="C12" s="16"/>
      <c r="D12" s="28"/>
      <c r="E12" s="33"/>
      <c r="F12" s="33">
        <f>F11-Table2[[#This Row],[Debet]]+Table2[[#This Row],[Credit]]</f>
        <v>20457000</v>
      </c>
    </row>
    <row r="13" spans="2:7" x14ac:dyDescent="0.25">
      <c r="B13" s="9"/>
      <c r="C13" s="16"/>
      <c r="D13" s="28"/>
      <c r="E13" s="33"/>
      <c r="F13" s="33">
        <f>F12-Table2[[#This Row],[Debet]]+Table2[[#This Row],[Credit]]</f>
        <v>20457000</v>
      </c>
    </row>
    <row r="14" spans="2:7" x14ac:dyDescent="0.25">
      <c r="B14" s="9"/>
      <c r="C14" s="16"/>
      <c r="D14" s="28"/>
      <c r="E14" s="33"/>
      <c r="F14" s="33">
        <f>F13-Table2[[#This Row],[Debet]]+Table2[[#This Row],[Credit]]</f>
        <v>20457000</v>
      </c>
    </row>
    <row r="15" spans="2:7" x14ac:dyDescent="0.25">
      <c r="B15" s="9"/>
      <c r="C15" s="16"/>
      <c r="D15" s="28"/>
      <c r="E15" s="33"/>
      <c r="F15" s="33">
        <f>F14-Table2[[#This Row],[Debet]]+Table2[[#This Row],[Credit]]</f>
        <v>20457000</v>
      </c>
    </row>
    <row r="16" spans="2:7" x14ac:dyDescent="0.25">
      <c r="B16" s="9"/>
      <c r="C16" s="16"/>
      <c r="D16" s="28"/>
      <c r="E16" s="33"/>
      <c r="F16" s="33">
        <f>F15-Table2[[#This Row],[Debet]]+Table2[[#This Row],[Credit]]</f>
        <v>20457000</v>
      </c>
    </row>
    <row r="17" spans="2:9" x14ac:dyDescent="0.25">
      <c r="B17" s="9"/>
      <c r="C17" s="16"/>
      <c r="D17" s="28"/>
      <c r="E17" s="33"/>
      <c r="F17" s="33">
        <f>F16-Table2[[#This Row],[Debet]]+Table2[[#This Row],[Credit]]</f>
        <v>20457000</v>
      </c>
      <c r="I17" s="22"/>
    </row>
    <row r="18" spans="2:9" x14ac:dyDescent="0.25">
      <c r="B18" s="9"/>
      <c r="C18" s="16"/>
      <c r="D18" s="28"/>
      <c r="E18" s="33"/>
      <c r="F18" s="33">
        <f>F17-Table2[[#This Row],[Debet]]+Table2[[#This Row],[Credit]]</f>
        <v>20457000</v>
      </c>
      <c r="I18" s="22"/>
    </row>
    <row r="19" spans="2:9" x14ac:dyDescent="0.25">
      <c r="B19" s="9"/>
      <c r="C19" s="16"/>
      <c r="D19" s="28"/>
      <c r="E19" s="33"/>
      <c r="F19" s="33">
        <f>F18-Table2[[#This Row],[Debet]]+Table2[[#This Row],[Credit]]</f>
        <v>20457000</v>
      </c>
      <c r="I19" s="22"/>
    </row>
    <row r="20" spans="2:9" x14ac:dyDescent="0.25">
      <c r="B20" s="9"/>
      <c r="C20" s="16"/>
      <c r="D20" s="28"/>
      <c r="E20" s="33"/>
      <c r="F20" s="33">
        <f>F19-Table2[[#This Row],[Debet]]+Table2[[#This Row],[Credit]]</f>
        <v>20457000</v>
      </c>
      <c r="I20" s="34"/>
    </row>
    <row r="21" spans="2:9" x14ac:dyDescent="0.25">
      <c r="B21" s="9"/>
      <c r="C21" s="16"/>
      <c r="D21" s="28"/>
      <c r="E21" s="33"/>
      <c r="F21" s="33">
        <f>F20-Table2[[#This Row],[Debet]]+Table2[[#This Row],[Credit]]</f>
        <v>20457000</v>
      </c>
      <c r="I21" s="34"/>
    </row>
    <row r="22" spans="2:9" x14ac:dyDescent="0.25">
      <c r="B22" s="9"/>
      <c r="C22" s="16"/>
      <c r="D22" s="28"/>
      <c r="E22" s="33"/>
      <c r="F22" s="33">
        <f>F21-Table2[[#This Row],[Debet]]+Table2[[#This Row],[Credit]]</f>
        <v>20457000</v>
      </c>
      <c r="I22" s="34"/>
    </row>
    <row r="23" spans="2:9" x14ac:dyDescent="0.25">
      <c r="B23" s="9"/>
      <c r="C23" s="16"/>
      <c r="D23" s="35"/>
      <c r="E23" s="36"/>
      <c r="F23" s="33">
        <f>F22-Table2[[#This Row],[Debet]]+Table2[[#This Row],[Credit]]</f>
        <v>20457000</v>
      </c>
      <c r="I23" s="34"/>
    </row>
    <row r="24" spans="2:9" x14ac:dyDescent="0.25">
      <c r="B24" s="9"/>
      <c r="C24" s="16"/>
      <c r="D24" s="35"/>
      <c r="E24" s="36"/>
      <c r="F24" s="33">
        <f>F23-Table2[[#This Row],[Debet]]+Table2[[#This Row],[Credit]]</f>
        <v>20457000</v>
      </c>
      <c r="I24" s="34"/>
    </row>
    <row r="25" spans="2:9" x14ac:dyDescent="0.25">
      <c r="B25" s="9"/>
      <c r="C25" s="16"/>
      <c r="D25" s="35"/>
      <c r="E25" s="36"/>
      <c r="F25" s="33">
        <f>F24-Table2[[#This Row],[Debet]]+Table2[[#This Row],[Credit]]</f>
        <v>20457000</v>
      </c>
      <c r="I25" s="34"/>
    </row>
    <row r="26" spans="2:9" x14ac:dyDescent="0.25">
      <c r="B26" s="9"/>
      <c r="C26" s="16"/>
      <c r="D26" s="35"/>
      <c r="E26" s="36"/>
      <c r="F26" s="33">
        <f>F25-Table2[[#This Row],[Debet]]+Table2[[#This Row],[Credit]]</f>
        <v>20457000</v>
      </c>
      <c r="I26" s="34"/>
    </row>
    <row r="27" spans="2:9" x14ac:dyDescent="0.25">
      <c r="B27" s="9"/>
      <c r="C27" s="16"/>
      <c r="D27" s="35"/>
      <c r="E27" s="36"/>
      <c r="F27" s="33">
        <f>F26-Table2[[#This Row],[Debet]]+Table2[[#This Row],[Credit]]</f>
        <v>20457000</v>
      </c>
      <c r="I27" s="34"/>
    </row>
    <row r="28" spans="2:9" x14ac:dyDescent="0.25">
      <c r="B28" s="9"/>
      <c r="C28" s="16"/>
      <c r="D28" s="28"/>
      <c r="E28" s="33"/>
      <c r="F28" s="33">
        <f>F27-Table2[[#This Row],[Debet]]+Table2[[#This Row],[Credit]]</f>
        <v>20457000</v>
      </c>
      <c r="I28" s="34"/>
    </row>
    <row r="29" spans="2:9" x14ac:dyDescent="0.25">
      <c r="B29" s="8"/>
      <c r="C29" s="16"/>
      <c r="D29" s="28"/>
      <c r="E29" s="33"/>
      <c r="F29" s="33">
        <f>F28-Table2[[#This Row],[Debet]]+Table2[[#This Row],[Credit]]</f>
        <v>20457000</v>
      </c>
    </row>
    <row r="30" spans="2:9" x14ac:dyDescent="0.25">
      <c r="B30" s="12"/>
      <c r="C30" s="13"/>
      <c r="D30" s="37"/>
      <c r="E30" s="38"/>
      <c r="F30" s="38"/>
    </row>
    <row r="33" spans="2:6" x14ac:dyDescent="0.25">
      <c r="D33" s="22" t="s">
        <v>491</v>
      </c>
    </row>
    <row r="34" spans="2:6" x14ac:dyDescent="0.25">
      <c r="B34" t="s">
        <v>492</v>
      </c>
      <c r="D34" s="22" t="s">
        <v>493</v>
      </c>
      <c r="F34" s="22" t="s">
        <v>494</v>
      </c>
    </row>
    <row r="38" spans="2:6" x14ac:dyDescent="0.25">
      <c r="B38" t="s">
        <v>495</v>
      </c>
      <c r="D38" s="22" t="s">
        <v>496</v>
      </c>
      <c r="F38" s="22" t="s">
        <v>497</v>
      </c>
    </row>
  </sheetData>
  <pageMargins left="0.7" right="0.7" top="0.75" bottom="0.75" header="0.3" footer="0.3"/>
  <pageSetup paperSize="9" scale="92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0"/>
  <sheetViews>
    <sheetView zoomScale="85" zoomScaleNormal="85" workbookViewId="0">
      <selection activeCell="D17" sqref="D17"/>
    </sheetView>
  </sheetViews>
  <sheetFormatPr defaultRowHeight="15" x14ac:dyDescent="0.25"/>
  <cols>
    <col min="2" max="2" width="14.7109375" style="20" customWidth="1"/>
    <col min="3" max="3" width="38.42578125" style="20" bestFit="1" customWidth="1"/>
    <col min="4" max="4" width="14.7109375" style="22" customWidth="1"/>
    <col min="5" max="5" width="10.5703125" style="22" bestFit="1" customWidth="1"/>
    <col min="6" max="6" width="14.85546875" style="22" customWidth="1"/>
    <col min="9" max="9" width="12.28515625" style="20" bestFit="1" customWidth="1"/>
    <col min="11" max="11" width="9.140625" style="22" customWidth="1"/>
    <col min="12" max="12" width="11.5703125" style="22" bestFit="1" customWidth="1"/>
    <col min="13" max="13" width="10.5703125" style="22" bestFit="1" customWidth="1"/>
    <col min="14" max="14" width="10.5703125" style="20" bestFit="1" customWidth="1"/>
    <col min="15" max="15" width="10.5703125" style="22" bestFit="1" customWidth="1"/>
    <col min="16" max="16" width="9.7109375" style="20" bestFit="1" customWidth="1"/>
  </cols>
  <sheetData>
    <row r="1" spans="2:16" x14ac:dyDescent="0.25">
      <c r="B1" t="s">
        <v>498</v>
      </c>
    </row>
    <row r="3" spans="2:16" x14ac:dyDescent="0.25">
      <c r="B3" s="10" t="s">
        <v>483</v>
      </c>
      <c r="C3" s="11" t="s">
        <v>484</v>
      </c>
      <c r="D3" s="31" t="s">
        <v>485</v>
      </c>
      <c r="E3" s="32" t="s">
        <v>486</v>
      </c>
      <c r="F3" s="32" t="s">
        <v>487</v>
      </c>
    </row>
    <row r="4" spans="2:16" x14ac:dyDescent="0.25">
      <c r="B4" s="8"/>
      <c r="C4" s="16" t="s">
        <v>499</v>
      </c>
      <c r="D4" s="28"/>
      <c r="E4" s="33"/>
      <c r="F4" s="33">
        <v>2794000</v>
      </c>
      <c r="N4" s="34"/>
      <c r="P4" s="22"/>
    </row>
    <row r="5" spans="2:16" x14ac:dyDescent="0.25">
      <c r="B5" s="9">
        <v>45771</v>
      </c>
      <c r="C5" s="16" t="s">
        <v>500</v>
      </c>
      <c r="D5" s="28"/>
      <c r="E5" s="33">
        <v>1360000</v>
      </c>
      <c r="F5" s="33">
        <f>F4-Table22[[#This Row],[Debet]]+Table22[[#This Row],[Credit]]</f>
        <v>4154000</v>
      </c>
      <c r="P5" s="34"/>
    </row>
    <row r="6" spans="2:16" x14ac:dyDescent="0.25">
      <c r="B6" s="9">
        <v>45771</v>
      </c>
      <c r="C6" s="16" t="s">
        <v>501</v>
      </c>
      <c r="D6" s="28">
        <v>600000</v>
      </c>
      <c r="E6" s="33"/>
      <c r="F6" s="33">
        <f>F5-Table22[[#This Row],[Debet]]+Table22[[#This Row],[Credit]]</f>
        <v>3554000</v>
      </c>
    </row>
    <row r="7" spans="2:16" x14ac:dyDescent="0.25">
      <c r="B7" s="9">
        <v>45771</v>
      </c>
      <c r="C7" s="16" t="s">
        <v>502</v>
      </c>
      <c r="D7" s="28">
        <v>1800000</v>
      </c>
      <c r="E7" s="33"/>
      <c r="F7" s="33">
        <f>F6-Table22[[#This Row],[Debet]]+Table22[[#This Row],[Credit]]</f>
        <v>1754000</v>
      </c>
    </row>
    <row r="8" spans="2:16" x14ac:dyDescent="0.25">
      <c r="B8" s="9">
        <v>45771</v>
      </c>
      <c r="C8" s="16" t="s">
        <v>503</v>
      </c>
      <c r="D8" s="28"/>
      <c r="E8" s="33">
        <v>170000</v>
      </c>
      <c r="F8" s="33">
        <f>F7-Table22[[#This Row],[Debet]]+Table22[[#This Row],[Credit]]</f>
        <v>1924000</v>
      </c>
      <c r="G8" s="34"/>
    </row>
    <row r="9" spans="2:16" x14ac:dyDescent="0.25">
      <c r="B9" s="9">
        <v>45771</v>
      </c>
      <c r="C9" s="16" t="s">
        <v>504</v>
      </c>
      <c r="D9" s="28"/>
      <c r="E9" s="33">
        <v>900000</v>
      </c>
      <c r="F9" s="33">
        <f>F8-Table22[[#This Row],[Debet]]+Table22[[#This Row],[Credit]]</f>
        <v>2824000</v>
      </c>
    </row>
    <row r="10" spans="2:16" x14ac:dyDescent="0.25">
      <c r="B10" s="9"/>
      <c r="C10" s="16"/>
      <c r="D10" s="28"/>
      <c r="E10" s="33"/>
      <c r="F10" s="33">
        <f>F9-Table22[[#This Row],[Debet]]+Table22[[#This Row],[Credit]]</f>
        <v>2824000</v>
      </c>
    </row>
    <row r="11" spans="2:16" x14ac:dyDescent="0.25">
      <c r="B11" s="9"/>
      <c r="C11" s="16"/>
      <c r="D11" s="28"/>
      <c r="E11" s="33"/>
      <c r="F11" s="33">
        <f>F10-Table22[[#This Row],[Debet]]+Table22[[#This Row],[Credit]]</f>
        <v>2824000</v>
      </c>
    </row>
    <row r="12" spans="2:16" x14ac:dyDescent="0.25">
      <c r="B12" s="9"/>
      <c r="C12" s="16"/>
      <c r="D12" s="28"/>
      <c r="E12" s="33"/>
      <c r="F12" s="33">
        <f>F11-Table22[[#This Row],[Debet]]+Table22[[#This Row],[Credit]]</f>
        <v>2824000</v>
      </c>
    </row>
    <row r="13" spans="2:16" x14ac:dyDescent="0.25">
      <c r="B13" s="9"/>
      <c r="C13" s="16"/>
      <c r="D13" s="28"/>
      <c r="E13" s="33"/>
      <c r="F13" s="33">
        <f>F12-Table22[[#This Row],[Debet]]+Table22[[#This Row],[Credit]]</f>
        <v>2824000</v>
      </c>
    </row>
    <row r="14" spans="2:16" x14ac:dyDescent="0.25">
      <c r="B14" s="9"/>
      <c r="C14" s="16"/>
      <c r="D14" s="28"/>
      <c r="E14" s="33"/>
      <c r="F14" s="33">
        <f>F13-Table22[[#This Row],[Debet]]+Table22[[#This Row],[Credit]]</f>
        <v>2824000</v>
      </c>
    </row>
    <row r="15" spans="2:16" x14ac:dyDescent="0.25">
      <c r="B15" s="9"/>
      <c r="C15" s="16"/>
      <c r="D15" s="28"/>
      <c r="E15" s="33"/>
      <c r="F15" s="33">
        <f>F14-Table22[[#This Row],[Debet]]+Table22[[#This Row],[Credit]]</f>
        <v>2824000</v>
      </c>
    </row>
    <row r="16" spans="2:16" x14ac:dyDescent="0.25">
      <c r="B16" s="9"/>
      <c r="C16" s="16"/>
      <c r="D16" s="28"/>
      <c r="E16" s="33"/>
      <c r="F16" s="33">
        <f>F15-Table22[[#This Row],[Debet]]+Table22[[#This Row],[Credit]]</f>
        <v>2824000</v>
      </c>
    </row>
    <row r="17" spans="2:9" x14ac:dyDescent="0.25">
      <c r="B17" s="9"/>
      <c r="C17" s="16"/>
      <c r="D17" s="28"/>
      <c r="E17" s="33"/>
      <c r="F17" s="33">
        <f>F16-Table22[[#This Row],[Debet]]+Table22[[#This Row],[Credit]]</f>
        <v>2824000</v>
      </c>
      <c r="I17" s="22"/>
    </row>
    <row r="18" spans="2:9" x14ac:dyDescent="0.25">
      <c r="B18" s="9"/>
      <c r="C18" s="16"/>
      <c r="D18" s="28"/>
      <c r="E18" s="33"/>
      <c r="F18" s="33">
        <f>F17-Table22[[#This Row],[Debet]]+Table22[[#This Row],[Credit]]</f>
        <v>2824000</v>
      </c>
      <c r="I18" s="22"/>
    </row>
    <row r="19" spans="2:9" x14ac:dyDescent="0.25">
      <c r="B19" s="9"/>
      <c r="C19" s="16"/>
      <c r="D19" s="28"/>
      <c r="E19" s="33"/>
      <c r="F19" s="33">
        <f>F18-Table22[[#This Row],[Debet]]+Table22[[#This Row],[Credit]]</f>
        <v>2824000</v>
      </c>
      <c r="I19" s="22"/>
    </row>
    <row r="20" spans="2:9" x14ac:dyDescent="0.25">
      <c r="B20" s="9"/>
      <c r="C20" s="16"/>
      <c r="D20" s="28"/>
      <c r="E20" s="33"/>
      <c r="F20" s="33">
        <f>F19-Table22[[#This Row],[Debet]]+Table22[[#This Row],[Credit]]</f>
        <v>2824000</v>
      </c>
      <c r="I20" s="34"/>
    </row>
    <row r="21" spans="2:9" x14ac:dyDescent="0.25">
      <c r="B21" s="9"/>
      <c r="C21" s="16"/>
      <c r="D21" s="28"/>
      <c r="E21" s="33"/>
      <c r="F21" s="33">
        <f>F20-Table22[[#This Row],[Debet]]+Table22[[#This Row],[Credit]]</f>
        <v>2824000</v>
      </c>
      <c r="I21" s="34"/>
    </row>
    <row r="22" spans="2:9" x14ac:dyDescent="0.25">
      <c r="B22" s="8"/>
      <c r="C22" s="16"/>
      <c r="D22" s="28"/>
      <c r="E22" s="33"/>
      <c r="F22" s="33">
        <f>F21-Table22[[#This Row],[Debet]]+Table22[[#This Row],[Credit]]</f>
        <v>2824000</v>
      </c>
      <c r="G22" s="34"/>
    </row>
    <row r="23" spans="2:9" x14ac:dyDescent="0.25">
      <c r="B23" s="12"/>
      <c r="C23" s="13"/>
      <c r="D23" s="37"/>
      <c r="E23" s="38"/>
      <c r="F23" s="38"/>
    </row>
    <row r="25" spans="2:9" x14ac:dyDescent="0.25">
      <c r="B25" t="s">
        <v>505</v>
      </c>
      <c r="D25" s="22" t="s">
        <v>491</v>
      </c>
    </row>
    <row r="26" spans="2:9" x14ac:dyDescent="0.25">
      <c r="B26" t="s">
        <v>492</v>
      </c>
      <c r="D26" s="22" t="s">
        <v>493</v>
      </c>
      <c r="F26" s="22" t="s">
        <v>494</v>
      </c>
    </row>
    <row r="30" spans="2:9" x14ac:dyDescent="0.25">
      <c r="B30" t="s">
        <v>495</v>
      </c>
      <c r="D30" s="22" t="s">
        <v>496</v>
      </c>
      <c r="F30" s="22" t="s">
        <v>497</v>
      </c>
    </row>
  </sheetData>
  <pageMargins left="0.7" right="0.7" top="0.75" bottom="0.75" header="0.3" footer="0.3"/>
  <pageSetup paperSize="9" scale="92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L668"/>
  <sheetViews>
    <sheetView showGridLines="0" view="pageBreakPreview" topLeftCell="A570" zoomScale="60" zoomScaleNormal="100" workbookViewId="0">
      <selection activeCell="O584" sqref="O584"/>
    </sheetView>
  </sheetViews>
  <sheetFormatPr defaultRowHeight="15" x14ac:dyDescent="0.25"/>
  <cols>
    <col min="2" max="2" width="9.85546875" style="20" customWidth="1"/>
    <col min="3" max="3" width="1.85546875" style="20" customWidth="1"/>
    <col min="4" max="4" width="29.5703125" style="20" customWidth="1"/>
    <col min="6" max="6" width="9.85546875" style="20" customWidth="1"/>
    <col min="7" max="7" width="1.85546875" style="20" customWidth="1"/>
    <col min="8" max="8" width="29.5703125" style="20" customWidth="1"/>
    <col min="10" max="10" width="9.85546875" style="20" customWidth="1"/>
    <col min="11" max="11" width="1.85546875" style="20" customWidth="1"/>
    <col min="12" max="12" width="29.5703125" style="20" customWidth="1"/>
  </cols>
  <sheetData>
    <row r="1" spans="2:12" ht="26.25" customHeight="1" x14ac:dyDescent="0.4">
      <c r="B1" s="48" t="s">
        <v>506</v>
      </c>
      <c r="C1" s="49"/>
      <c r="D1" s="49"/>
      <c r="E1" s="49"/>
      <c r="F1" s="49"/>
      <c r="G1" s="49"/>
      <c r="H1" s="49"/>
      <c r="I1" s="49"/>
      <c r="J1" s="49"/>
      <c r="K1" s="49"/>
      <c r="L1" s="49"/>
    </row>
    <row r="3" spans="2:12" x14ac:dyDescent="0.25">
      <c r="B3" s="5" t="s">
        <v>2</v>
      </c>
      <c r="C3" s="5" t="s">
        <v>507</v>
      </c>
      <c r="D3" s="5">
        <v>1</v>
      </c>
      <c r="F3" s="5" t="s">
        <v>2</v>
      </c>
      <c r="G3" s="5" t="s">
        <v>507</v>
      </c>
      <c r="H3" s="5">
        <v>2</v>
      </c>
      <c r="J3" s="5" t="s">
        <v>2</v>
      </c>
      <c r="K3" s="5" t="s">
        <v>507</v>
      </c>
      <c r="L3" s="5">
        <v>3</v>
      </c>
    </row>
    <row r="4" spans="2:12" x14ac:dyDescent="0.25">
      <c r="B4" s="6" t="s">
        <v>508</v>
      </c>
      <c r="C4" s="6" t="s">
        <v>507</v>
      </c>
      <c r="D4" s="6" t="e">
        <f>VLOOKUP(D3,'IURAN TANAH'!$A$2:$S$145,2,FALSE)</f>
        <v>#N/A</v>
      </c>
      <c r="F4" s="6" t="s">
        <v>508</v>
      </c>
      <c r="G4" s="6" t="s">
        <v>507</v>
      </c>
      <c r="H4" s="6" t="e">
        <f>VLOOKUP(H3,'IURAN TANAH'!$A$2:$S$145,2,FALSE)</f>
        <v>#N/A</v>
      </c>
      <c r="J4" s="6" t="s">
        <v>508</v>
      </c>
      <c r="K4" s="6" t="s">
        <v>507</v>
      </c>
      <c r="L4" s="6" t="e">
        <f>VLOOKUP(L3,'IURAN TANAH'!$A$2:$S$145,2,FALSE)</f>
        <v>#N/A</v>
      </c>
    </row>
    <row r="5" spans="2:12" x14ac:dyDescent="0.25">
      <c r="B5" s="5" t="s">
        <v>509</v>
      </c>
      <c r="C5" s="5" t="s">
        <v>507</v>
      </c>
      <c r="D5" s="5" t="e">
        <f>VLOOKUP(D3,'IURAN TANAH'!$A$2:$S$145,3,FALSE) &amp;" " &amp;VLOOKUP(D3,'IURAN TANAH'!$A$2:$S$145,4,FALSE)</f>
        <v>#N/A</v>
      </c>
      <c r="F5" s="5" t="s">
        <v>509</v>
      </c>
      <c r="G5" s="5" t="s">
        <v>507</v>
      </c>
      <c r="H5" s="5" t="e">
        <f>VLOOKUP(H3,'IURAN TANAH'!$A$2:$S$145,3,FALSE) &amp;" " &amp;VLOOKUP(H3,'IURAN TANAH'!$A$2:$S$145,4,FALSE)</f>
        <v>#N/A</v>
      </c>
      <c r="J5" s="5" t="s">
        <v>509</v>
      </c>
      <c r="K5" s="5" t="s">
        <v>507</v>
      </c>
      <c r="L5" s="5" t="e">
        <f>VLOOKUP(L3,'IURAN TANAH'!$A$2:$S$145,3,FALSE) &amp;" " &amp;VLOOKUP(L3,'IURAN TANAH'!$A$2:$S$145,4,FALSE)</f>
        <v>#N/A</v>
      </c>
    </row>
    <row r="6" spans="2:12" x14ac:dyDescent="0.25">
      <c r="B6" s="6"/>
      <c r="C6" s="6"/>
      <c r="D6" s="6"/>
      <c r="F6" s="6"/>
      <c r="G6" s="6"/>
      <c r="H6" s="6"/>
      <c r="J6" s="6"/>
      <c r="K6" s="6"/>
      <c r="L6" s="6"/>
    </row>
    <row r="7" spans="2:12" x14ac:dyDescent="0.25">
      <c r="B7" s="5" t="s">
        <v>510</v>
      </c>
      <c r="C7" s="5"/>
      <c r="D7" s="5"/>
      <c r="F7" s="5" t="s">
        <v>510</v>
      </c>
      <c r="G7" s="5"/>
      <c r="H7" s="5"/>
      <c r="J7" s="5" t="s">
        <v>510</v>
      </c>
      <c r="K7" s="5"/>
      <c r="L7" s="5"/>
    </row>
    <row r="8" spans="2:12" x14ac:dyDescent="0.25">
      <c r="B8" s="6" t="s">
        <v>511</v>
      </c>
      <c r="C8" s="6"/>
      <c r="D8" s="39" t="e">
        <f>VLOOKUP(D3,'IURAN TANAH'!$A$2:$S$145,7,FALSE)</f>
        <v>#N/A</v>
      </c>
      <c r="F8" s="6" t="s">
        <v>511</v>
      </c>
      <c r="G8" s="6"/>
      <c r="H8" s="39" t="e">
        <f>VLOOKUP(H3,'IURAN TANAH'!$A$2:$S$145,7,FALSE)</f>
        <v>#N/A</v>
      </c>
      <c r="J8" s="6" t="s">
        <v>511</v>
      </c>
      <c r="K8" s="6"/>
      <c r="L8" s="39" t="e">
        <f>VLOOKUP(L3,'IURAN TANAH'!$A$2:$S$145,7,FALSE)</f>
        <v>#N/A</v>
      </c>
    </row>
    <row r="9" spans="2:12" x14ac:dyDescent="0.25">
      <c r="B9" s="5" t="s">
        <v>512</v>
      </c>
      <c r="C9" s="5"/>
      <c r="D9" s="40" t="e">
        <f>VLOOKUP(D3,'IURAN TANAH'!$A$2:$S$145,8,FALSE)</f>
        <v>#N/A</v>
      </c>
      <c r="F9" s="5" t="s">
        <v>512</v>
      </c>
      <c r="G9" s="5"/>
      <c r="H9" s="40" t="e">
        <f>VLOOKUP(H3,'IURAN TANAH'!$A$2:$S$145,8,FALSE)</f>
        <v>#N/A</v>
      </c>
      <c r="J9" s="5" t="s">
        <v>512</v>
      </c>
      <c r="K9" s="5"/>
      <c r="L9" s="40" t="e">
        <f>VLOOKUP(L3,'IURAN TANAH'!$A$2:$S$145,8,FALSE)</f>
        <v>#N/A</v>
      </c>
    </row>
    <row r="10" spans="2:12" x14ac:dyDescent="0.25">
      <c r="B10" s="6" t="s">
        <v>513</v>
      </c>
      <c r="C10" s="6"/>
      <c r="D10" s="39" t="e">
        <f>VLOOKUP(D3,'IURAN TANAH'!$A$2:$S$145,9,FALSE)</f>
        <v>#N/A</v>
      </c>
      <c r="F10" s="6" t="s">
        <v>513</v>
      </c>
      <c r="G10" s="6"/>
      <c r="H10" s="39" t="e">
        <f>VLOOKUP(H3,'IURAN TANAH'!$A$2:$S$145,9,FALSE)</f>
        <v>#N/A</v>
      </c>
      <c r="J10" s="6" t="s">
        <v>513</v>
      </c>
      <c r="K10" s="6"/>
      <c r="L10" s="39" t="e">
        <f>VLOOKUP(L3,'IURAN TANAH'!$A$2:$S$145,9,FALSE)</f>
        <v>#N/A</v>
      </c>
    </row>
    <row r="11" spans="2:12" x14ac:dyDescent="0.25">
      <c r="B11" s="5" t="s">
        <v>514</v>
      </c>
      <c r="C11" s="5"/>
      <c r="D11" s="40" t="e">
        <f>VLOOKUP(D3,'IURAN TANAH'!$A$2:$S$145,10,FALSE)</f>
        <v>#N/A</v>
      </c>
      <c r="F11" s="5" t="s">
        <v>514</v>
      </c>
      <c r="G11" s="5"/>
      <c r="H11" s="40" t="e">
        <f>VLOOKUP(H3,'IURAN TANAH'!$A$2:$S$145,10,FALSE)</f>
        <v>#N/A</v>
      </c>
      <c r="J11" s="5" t="s">
        <v>514</v>
      </c>
      <c r="K11" s="5"/>
      <c r="L11" s="40" t="e">
        <f>VLOOKUP(L3,'IURAN TANAH'!$A$2:$S$145,10,FALSE)</f>
        <v>#N/A</v>
      </c>
    </row>
    <row r="12" spans="2:12" x14ac:dyDescent="0.25">
      <c r="B12" s="6" t="s">
        <v>515</v>
      </c>
      <c r="C12" s="6"/>
      <c r="D12" s="39" t="e">
        <f>VLOOKUP(D3,'IURAN TANAH'!$A$2:$S$145,11,FALSE)</f>
        <v>#N/A</v>
      </c>
      <c r="F12" s="6" t="s">
        <v>515</v>
      </c>
      <c r="G12" s="6"/>
      <c r="H12" s="39" t="e">
        <f>VLOOKUP(H3,'IURAN TANAH'!$A$2:$S$145,11,FALSE)</f>
        <v>#N/A</v>
      </c>
      <c r="J12" s="6" t="s">
        <v>515</v>
      </c>
      <c r="K12" s="6"/>
      <c r="L12" s="39" t="e">
        <f>VLOOKUP(L3,'IURAN TANAH'!$A$2:$S$145,11,FALSE)</f>
        <v>#N/A</v>
      </c>
    </row>
    <row r="13" spans="2:12" x14ac:dyDescent="0.25">
      <c r="B13" s="5" t="s">
        <v>516</v>
      </c>
      <c r="C13" s="5"/>
      <c r="D13" s="40" t="e">
        <f>VLOOKUP(D3,'IURAN TANAH'!$A$2:$S$145,12,FALSE)</f>
        <v>#N/A</v>
      </c>
      <c r="F13" s="5" t="s">
        <v>516</v>
      </c>
      <c r="G13" s="5"/>
      <c r="H13" s="40" t="e">
        <f>VLOOKUP(H3,'IURAN TANAH'!$A$2:$S$145,12,FALSE)</f>
        <v>#N/A</v>
      </c>
      <c r="J13" s="5" t="s">
        <v>516</v>
      </c>
      <c r="K13" s="5"/>
      <c r="L13" s="40" t="e">
        <f>VLOOKUP(L3,'IURAN TANAH'!$A$2:$S$145,12,FALSE)</f>
        <v>#N/A</v>
      </c>
    </row>
    <row r="14" spans="2:12" x14ac:dyDescent="0.25">
      <c r="B14" s="6" t="s">
        <v>517</v>
      </c>
      <c r="C14" s="6"/>
      <c r="D14" s="39" t="e">
        <f>VLOOKUP(D3,'IURAN TANAH'!$A$2:$S$145,13,FALSE)</f>
        <v>#N/A</v>
      </c>
      <c r="F14" s="6" t="s">
        <v>517</v>
      </c>
      <c r="G14" s="6"/>
      <c r="H14" s="39" t="e">
        <f>VLOOKUP(H3,'IURAN TANAH'!$A$2:$S$145,13,FALSE)</f>
        <v>#N/A</v>
      </c>
      <c r="J14" s="6" t="s">
        <v>517</v>
      </c>
      <c r="K14" s="6"/>
      <c r="L14" s="39" t="e">
        <f>VLOOKUP(L3,'IURAN TANAH'!$A$2:$S$145,13,FALSE)</f>
        <v>#N/A</v>
      </c>
    </row>
    <row r="15" spans="2:12" x14ac:dyDescent="0.25">
      <c r="B15" s="5" t="s">
        <v>518</v>
      </c>
      <c r="C15" s="5"/>
      <c r="D15" s="40" t="e">
        <f>VLOOKUP(D3,'IURAN TANAH'!$A$2:$S$145,14,FALSE)</f>
        <v>#N/A</v>
      </c>
      <c r="F15" s="5" t="s">
        <v>518</v>
      </c>
      <c r="G15" s="5"/>
      <c r="H15" s="40" t="e">
        <f>VLOOKUP(H3,'IURAN TANAH'!$A$2:$S$145,14,FALSE)</f>
        <v>#N/A</v>
      </c>
      <c r="J15" s="5" t="s">
        <v>518</v>
      </c>
      <c r="K15" s="5"/>
      <c r="L15" s="40" t="e">
        <f>VLOOKUP(L3,'IURAN TANAH'!$A$2:$S$145,14,FALSE)</f>
        <v>#N/A</v>
      </c>
    </row>
    <row r="16" spans="2:12" x14ac:dyDescent="0.25">
      <c r="B16" s="6" t="s">
        <v>519</v>
      </c>
      <c r="C16" s="6"/>
      <c r="D16" s="39" t="e">
        <f>VLOOKUP(D3,'IURAN TANAH'!$A$2:$S$145,15,FALSE)</f>
        <v>#N/A</v>
      </c>
      <c r="F16" s="6" t="s">
        <v>519</v>
      </c>
      <c r="G16" s="6"/>
      <c r="H16" s="39" t="e">
        <f>VLOOKUP(H3,'IURAN TANAH'!$A$2:$S$145,15,FALSE)</f>
        <v>#N/A</v>
      </c>
      <c r="J16" s="6" t="s">
        <v>519</v>
      </c>
      <c r="K16" s="6"/>
      <c r="L16" s="39" t="e">
        <f>VLOOKUP(L3,'IURAN TANAH'!$A$2:$S$145,15,FALSE)</f>
        <v>#N/A</v>
      </c>
    </row>
    <row r="17" spans="2:12" x14ac:dyDescent="0.25">
      <c r="B17" s="5" t="s">
        <v>520</v>
      </c>
      <c r="C17" s="5"/>
      <c r="D17" s="40" t="e">
        <f>VLOOKUP(D3,'IURAN TANAH'!$A$2:$S$145,16,FALSE)</f>
        <v>#N/A</v>
      </c>
      <c r="F17" s="5" t="s">
        <v>520</v>
      </c>
      <c r="G17" s="5"/>
      <c r="H17" s="40" t="e">
        <f>VLOOKUP(H3,'IURAN TANAH'!$A$2:$S$145,16,FALSE)</f>
        <v>#N/A</v>
      </c>
      <c r="J17" s="5" t="s">
        <v>520</v>
      </c>
      <c r="K17" s="5"/>
      <c r="L17" s="40" t="e">
        <f>VLOOKUP(L3,'IURAN TANAH'!$A$2:$S$145,16,FALSE)</f>
        <v>#N/A</v>
      </c>
    </row>
    <row r="18" spans="2:12" ht="18.75" customHeight="1" x14ac:dyDescent="0.3">
      <c r="B18" s="7" t="s">
        <v>21</v>
      </c>
      <c r="C18" s="7"/>
      <c r="D18" s="41" t="e">
        <f>SUM(D8:D17)</f>
        <v>#N/A</v>
      </c>
      <c r="F18" s="7" t="s">
        <v>21</v>
      </c>
      <c r="G18" s="7"/>
      <c r="H18" s="41" t="e">
        <f>SUM(H8:H17)</f>
        <v>#N/A</v>
      </c>
      <c r="J18" s="7" t="s">
        <v>21</v>
      </c>
      <c r="K18" s="7"/>
      <c r="L18" s="41" t="e">
        <f>SUM(L8:L17)</f>
        <v>#N/A</v>
      </c>
    </row>
    <row r="19" spans="2:12" x14ac:dyDescent="0.25">
      <c r="B19" s="5"/>
      <c r="C19" s="5"/>
      <c r="D19" s="5"/>
      <c r="F19" s="5"/>
      <c r="G19" s="5"/>
      <c r="H19" s="5"/>
      <c r="J19" s="5"/>
      <c r="K19" s="5"/>
      <c r="L19" s="5"/>
    </row>
    <row r="21" spans="2:12" x14ac:dyDescent="0.25">
      <c r="B21" s="5" t="s">
        <v>2</v>
      </c>
      <c r="C21" s="5" t="s">
        <v>507</v>
      </c>
      <c r="D21" s="5">
        <v>4</v>
      </c>
      <c r="F21" s="5" t="s">
        <v>2</v>
      </c>
      <c r="G21" s="5" t="s">
        <v>507</v>
      </c>
      <c r="H21" s="5">
        <v>5</v>
      </c>
      <c r="J21" s="5" t="s">
        <v>2</v>
      </c>
      <c r="K21" s="5" t="s">
        <v>507</v>
      </c>
      <c r="L21" s="5">
        <v>6</v>
      </c>
    </row>
    <row r="22" spans="2:12" x14ac:dyDescent="0.25">
      <c r="B22" s="6" t="s">
        <v>508</v>
      </c>
      <c r="C22" s="6" t="s">
        <v>507</v>
      </c>
      <c r="D22" s="6" t="e">
        <f>VLOOKUP(D21,'IURAN TANAH'!$A$2:$S$145,2,FALSE)</f>
        <v>#N/A</v>
      </c>
      <c r="F22" s="6" t="s">
        <v>508</v>
      </c>
      <c r="G22" s="6" t="s">
        <v>507</v>
      </c>
      <c r="H22" s="6" t="e">
        <f>VLOOKUP(H21,'IURAN TANAH'!$A$2:$S$145,2,FALSE)</f>
        <v>#N/A</v>
      </c>
      <c r="J22" s="6" t="s">
        <v>508</v>
      </c>
      <c r="K22" s="6" t="s">
        <v>507</v>
      </c>
      <c r="L22" s="6" t="e">
        <f>VLOOKUP(L21,'IURAN TANAH'!$A$2:$S$145,2,FALSE)</f>
        <v>#N/A</v>
      </c>
    </row>
    <row r="23" spans="2:12" x14ac:dyDescent="0.25">
      <c r="B23" s="5" t="s">
        <v>509</v>
      </c>
      <c r="C23" s="5" t="s">
        <v>507</v>
      </c>
      <c r="D23" s="5" t="e">
        <f>VLOOKUP(D21,'IURAN TANAH'!$A$2:$S$145,3,FALSE) &amp;" " &amp;VLOOKUP(D21,'IURAN TANAH'!$A$2:$S$145,4,FALSE)</f>
        <v>#N/A</v>
      </c>
      <c r="F23" s="5" t="s">
        <v>509</v>
      </c>
      <c r="G23" s="5" t="s">
        <v>507</v>
      </c>
      <c r="H23" s="5" t="e">
        <f>VLOOKUP(H21,'IURAN TANAH'!$A$2:$S$145,3,FALSE) &amp;" " &amp;VLOOKUP(H21,'IURAN TANAH'!$A$2:$S$145,4,FALSE)</f>
        <v>#N/A</v>
      </c>
      <c r="J23" s="5" t="s">
        <v>509</v>
      </c>
      <c r="K23" s="5" t="s">
        <v>507</v>
      </c>
      <c r="L23" s="5" t="e">
        <f>VLOOKUP(L21,'IURAN TANAH'!$A$2:$S$145,3,FALSE) &amp;" " &amp;VLOOKUP(L21,'IURAN TANAH'!$A$2:$S$145,4,FALSE)</f>
        <v>#N/A</v>
      </c>
    </row>
    <row r="24" spans="2:12" x14ac:dyDescent="0.25">
      <c r="B24" s="6"/>
      <c r="C24" s="6"/>
      <c r="D24" s="6"/>
      <c r="F24" s="6"/>
      <c r="G24" s="6"/>
      <c r="H24" s="6"/>
      <c r="J24" s="6"/>
      <c r="K24" s="6"/>
      <c r="L24" s="6"/>
    </row>
    <row r="25" spans="2:12" x14ac:dyDescent="0.25">
      <c r="B25" s="5" t="s">
        <v>510</v>
      </c>
      <c r="C25" s="5"/>
      <c r="D25" s="5"/>
      <c r="F25" s="5" t="s">
        <v>510</v>
      </c>
      <c r="G25" s="5"/>
      <c r="H25" s="5"/>
      <c r="J25" s="5" t="s">
        <v>510</v>
      </c>
      <c r="K25" s="5"/>
      <c r="L25" s="5"/>
    </row>
    <row r="26" spans="2:12" x14ac:dyDescent="0.25">
      <c r="B26" s="6" t="s">
        <v>511</v>
      </c>
      <c r="C26" s="6"/>
      <c r="D26" s="39" t="e">
        <f>VLOOKUP(D21,'IURAN TANAH'!$A$2:$S$145,7,FALSE)</f>
        <v>#N/A</v>
      </c>
      <c r="F26" s="6" t="s">
        <v>511</v>
      </c>
      <c r="G26" s="6"/>
      <c r="H26" s="39" t="e">
        <f>VLOOKUP(H21,'IURAN TANAH'!$A$2:$S$145,7,FALSE)</f>
        <v>#N/A</v>
      </c>
      <c r="J26" s="6" t="s">
        <v>511</v>
      </c>
      <c r="K26" s="6"/>
      <c r="L26" s="39" t="e">
        <f>VLOOKUP(L21,'IURAN TANAH'!$A$2:$S$145,7,FALSE)</f>
        <v>#N/A</v>
      </c>
    </row>
    <row r="27" spans="2:12" x14ac:dyDescent="0.25">
      <c r="B27" s="5" t="s">
        <v>512</v>
      </c>
      <c r="C27" s="5"/>
      <c r="D27" s="40" t="e">
        <f>VLOOKUP(D21,'IURAN TANAH'!$A$2:$S$145,8,FALSE)</f>
        <v>#N/A</v>
      </c>
      <c r="F27" s="5" t="s">
        <v>512</v>
      </c>
      <c r="G27" s="5"/>
      <c r="H27" s="40" t="e">
        <f>VLOOKUP(H21,'IURAN TANAH'!$A$2:$S$145,8,FALSE)</f>
        <v>#N/A</v>
      </c>
      <c r="J27" s="5" t="s">
        <v>512</v>
      </c>
      <c r="K27" s="5"/>
      <c r="L27" s="40" t="e">
        <f>VLOOKUP(L21,'IURAN TANAH'!$A$2:$S$145,8,FALSE)</f>
        <v>#N/A</v>
      </c>
    </row>
    <row r="28" spans="2:12" x14ac:dyDescent="0.25">
      <c r="B28" s="6" t="s">
        <v>513</v>
      </c>
      <c r="C28" s="6"/>
      <c r="D28" s="39" t="e">
        <f>VLOOKUP(D21,'IURAN TANAH'!$A$2:$S$145,9,FALSE)</f>
        <v>#N/A</v>
      </c>
      <c r="F28" s="6" t="s">
        <v>513</v>
      </c>
      <c r="G28" s="6"/>
      <c r="H28" s="39" t="e">
        <f>VLOOKUP(H21,'IURAN TANAH'!$A$2:$S$145,9,FALSE)</f>
        <v>#N/A</v>
      </c>
      <c r="J28" s="6" t="s">
        <v>513</v>
      </c>
      <c r="K28" s="6"/>
      <c r="L28" s="39" t="e">
        <f>VLOOKUP(L21,'IURAN TANAH'!$A$2:$S$145,9,FALSE)</f>
        <v>#N/A</v>
      </c>
    </row>
    <row r="29" spans="2:12" x14ac:dyDescent="0.25">
      <c r="B29" s="5" t="s">
        <v>514</v>
      </c>
      <c r="C29" s="5"/>
      <c r="D29" s="40" t="e">
        <f>VLOOKUP(D21,'IURAN TANAH'!$A$2:$S$145,10,FALSE)</f>
        <v>#N/A</v>
      </c>
      <c r="F29" s="5" t="s">
        <v>514</v>
      </c>
      <c r="G29" s="5"/>
      <c r="H29" s="40" t="e">
        <f>VLOOKUP(H21,'IURAN TANAH'!$A$2:$S$145,10,FALSE)</f>
        <v>#N/A</v>
      </c>
      <c r="J29" s="5" t="s">
        <v>514</v>
      </c>
      <c r="K29" s="5"/>
      <c r="L29" s="40" t="e">
        <f>VLOOKUP(L21,'IURAN TANAH'!$A$2:$S$145,10,FALSE)</f>
        <v>#N/A</v>
      </c>
    </row>
    <row r="30" spans="2:12" x14ac:dyDescent="0.25">
      <c r="B30" s="6" t="s">
        <v>515</v>
      </c>
      <c r="C30" s="6"/>
      <c r="D30" s="39" t="e">
        <f>VLOOKUP(D21,'IURAN TANAH'!$A$2:$S$145,11,FALSE)</f>
        <v>#N/A</v>
      </c>
      <c r="F30" s="6" t="s">
        <v>515</v>
      </c>
      <c r="G30" s="6"/>
      <c r="H30" s="39" t="e">
        <f>VLOOKUP(H21,'IURAN TANAH'!$A$2:$S$145,11,FALSE)</f>
        <v>#N/A</v>
      </c>
      <c r="J30" s="6" t="s">
        <v>515</v>
      </c>
      <c r="K30" s="6"/>
      <c r="L30" s="39" t="e">
        <f>VLOOKUP(L21,'IURAN TANAH'!$A$2:$S$145,11,FALSE)</f>
        <v>#N/A</v>
      </c>
    </row>
    <row r="31" spans="2:12" x14ac:dyDescent="0.25">
      <c r="B31" s="5" t="s">
        <v>516</v>
      </c>
      <c r="C31" s="5"/>
      <c r="D31" s="40" t="e">
        <f>VLOOKUP(D21,'IURAN TANAH'!$A$2:$S$145,12,FALSE)</f>
        <v>#N/A</v>
      </c>
      <c r="F31" s="5" t="s">
        <v>516</v>
      </c>
      <c r="G31" s="5"/>
      <c r="H31" s="40" t="e">
        <f>VLOOKUP(H21,'IURAN TANAH'!$A$2:$S$145,12,FALSE)</f>
        <v>#N/A</v>
      </c>
      <c r="J31" s="5" t="s">
        <v>516</v>
      </c>
      <c r="K31" s="5"/>
      <c r="L31" s="40" t="e">
        <f>VLOOKUP(L21,'IURAN TANAH'!$A$2:$S$145,12,FALSE)</f>
        <v>#N/A</v>
      </c>
    </row>
    <row r="32" spans="2:12" x14ac:dyDescent="0.25">
      <c r="B32" s="6" t="s">
        <v>517</v>
      </c>
      <c r="C32" s="6"/>
      <c r="D32" s="39" t="e">
        <f>VLOOKUP(D21,'IURAN TANAH'!$A$2:$S$145,13,FALSE)</f>
        <v>#N/A</v>
      </c>
      <c r="F32" s="6" t="s">
        <v>517</v>
      </c>
      <c r="G32" s="6"/>
      <c r="H32" s="39" t="e">
        <f>VLOOKUP(H21,'IURAN TANAH'!$A$2:$S$145,13,FALSE)</f>
        <v>#N/A</v>
      </c>
      <c r="J32" s="6" t="s">
        <v>517</v>
      </c>
      <c r="K32" s="6"/>
      <c r="L32" s="39" t="e">
        <f>VLOOKUP(L21,'IURAN TANAH'!$A$2:$S$145,13,FALSE)</f>
        <v>#N/A</v>
      </c>
    </row>
    <row r="33" spans="2:12" x14ac:dyDescent="0.25">
      <c r="B33" s="5" t="s">
        <v>518</v>
      </c>
      <c r="C33" s="5"/>
      <c r="D33" s="40" t="e">
        <f>VLOOKUP(D21,'IURAN TANAH'!$A$2:$S$145,14,FALSE)</f>
        <v>#N/A</v>
      </c>
      <c r="F33" s="5" t="s">
        <v>518</v>
      </c>
      <c r="G33" s="5"/>
      <c r="H33" s="40" t="e">
        <f>VLOOKUP(H21,'IURAN TANAH'!$A$2:$S$145,14,FALSE)</f>
        <v>#N/A</v>
      </c>
      <c r="J33" s="5" t="s">
        <v>518</v>
      </c>
      <c r="K33" s="5"/>
      <c r="L33" s="40" t="e">
        <f>VLOOKUP(L21,'IURAN TANAH'!$A$2:$S$145,14,FALSE)</f>
        <v>#N/A</v>
      </c>
    </row>
    <row r="34" spans="2:12" x14ac:dyDescent="0.25">
      <c r="B34" s="6" t="s">
        <v>519</v>
      </c>
      <c r="C34" s="6"/>
      <c r="D34" s="39" t="e">
        <f>VLOOKUP(D21,'IURAN TANAH'!$A$2:$S$145,15,FALSE)</f>
        <v>#N/A</v>
      </c>
      <c r="F34" s="6" t="s">
        <v>519</v>
      </c>
      <c r="G34" s="6"/>
      <c r="H34" s="39" t="e">
        <f>VLOOKUP(H21,'IURAN TANAH'!$A$2:$S$145,15,FALSE)</f>
        <v>#N/A</v>
      </c>
      <c r="J34" s="6" t="s">
        <v>519</v>
      </c>
      <c r="K34" s="6"/>
      <c r="L34" s="39" t="e">
        <f>VLOOKUP(L21,'IURAN TANAH'!$A$2:$S$145,15,FALSE)</f>
        <v>#N/A</v>
      </c>
    </row>
    <row r="35" spans="2:12" x14ac:dyDescent="0.25">
      <c r="B35" s="5" t="s">
        <v>520</v>
      </c>
      <c r="C35" s="5"/>
      <c r="D35" s="40" t="e">
        <f>VLOOKUP(D21,'IURAN TANAH'!$A$2:$S$145,16,FALSE)</f>
        <v>#N/A</v>
      </c>
      <c r="F35" s="5" t="s">
        <v>520</v>
      </c>
      <c r="G35" s="5"/>
      <c r="H35" s="40" t="e">
        <f>VLOOKUP(H21,'IURAN TANAH'!$A$2:$S$145,16,FALSE)</f>
        <v>#N/A</v>
      </c>
      <c r="J35" s="5" t="s">
        <v>520</v>
      </c>
      <c r="K35" s="5"/>
      <c r="L35" s="40" t="e">
        <f>VLOOKUP(L21,'IURAN TANAH'!$A$2:$S$145,16,FALSE)</f>
        <v>#N/A</v>
      </c>
    </row>
    <row r="36" spans="2:12" ht="18.75" customHeight="1" x14ac:dyDescent="0.3">
      <c r="B36" s="7" t="s">
        <v>21</v>
      </c>
      <c r="C36" s="7"/>
      <c r="D36" s="41" t="e">
        <f>SUM(D26:D35)</f>
        <v>#N/A</v>
      </c>
      <c r="F36" s="7" t="s">
        <v>21</v>
      </c>
      <c r="G36" s="7"/>
      <c r="H36" s="41" t="e">
        <f>SUM(H26:H35)</f>
        <v>#N/A</v>
      </c>
      <c r="J36" s="7" t="s">
        <v>21</v>
      </c>
      <c r="K36" s="7"/>
      <c r="L36" s="41" t="e">
        <f>SUM(L26:L35)</f>
        <v>#N/A</v>
      </c>
    </row>
    <row r="37" spans="2:12" x14ac:dyDescent="0.25">
      <c r="B37" s="5"/>
      <c r="C37" s="5"/>
      <c r="D37" s="5"/>
      <c r="F37" s="5"/>
      <c r="G37" s="5"/>
      <c r="H37" s="5"/>
      <c r="J37" s="5"/>
      <c r="K37" s="5"/>
      <c r="L37" s="5"/>
    </row>
    <row r="39" spans="2:12" x14ac:dyDescent="0.25">
      <c r="B39" s="5" t="s">
        <v>2</v>
      </c>
      <c r="C39" s="5" t="s">
        <v>507</v>
      </c>
      <c r="D39" s="5">
        <v>7</v>
      </c>
      <c r="F39" s="5" t="s">
        <v>2</v>
      </c>
      <c r="G39" s="5" t="s">
        <v>507</v>
      </c>
      <c r="H39" s="5">
        <v>8</v>
      </c>
      <c r="J39" s="5" t="s">
        <v>2</v>
      </c>
      <c r="K39" s="5" t="s">
        <v>507</v>
      </c>
      <c r="L39" s="5">
        <v>9</v>
      </c>
    </row>
    <row r="40" spans="2:12" x14ac:dyDescent="0.25">
      <c r="B40" s="6" t="s">
        <v>508</v>
      </c>
      <c r="C40" s="6" t="s">
        <v>507</v>
      </c>
      <c r="D40" s="6" t="e">
        <f>VLOOKUP(D39,'IURAN TANAH'!$A$2:$S$145,2,FALSE)</f>
        <v>#N/A</v>
      </c>
      <c r="F40" s="6" t="s">
        <v>508</v>
      </c>
      <c r="G40" s="6" t="s">
        <v>507</v>
      </c>
      <c r="H40" s="6" t="e">
        <f>VLOOKUP(H39,'IURAN TANAH'!$A$2:$S$145,2,FALSE)</f>
        <v>#N/A</v>
      </c>
      <c r="J40" s="6" t="s">
        <v>508</v>
      </c>
      <c r="K40" s="6" t="s">
        <v>507</v>
      </c>
      <c r="L40" s="6" t="e">
        <f>VLOOKUP(L39,'IURAN TANAH'!$A$2:$S$145,2,FALSE)</f>
        <v>#N/A</v>
      </c>
    </row>
    <row r="41" spans="2:12" x14ac:dyDescent="0.25">
      <c r="B41" s="5" t="s">
        <v>509</v>
      </c>
      <c r="C41" s="5" t="s">
        <v>507</v>
      </c>
      <c r="D41" s="5" t="e">
        <f>VLOOKUP(D39,'IURAN TANAH'!$A$2:$S$145,3,FALSE) &amp;" " &amp;VLOOKUP(D39,'IURAN TANAH'!$A$2:$S$145,4,FALSE)</f>
        <v>#N/A</v>
      </c>
      <c r="F41" s="5" t="s">
        <v>509</v>
      </c>
      <c r="G41" s="5" t="s">
        <v>507</v>
      </c>
      <c r="H41" s="5" t="e">
        <f>VLOOKUP(H39,'IURAN TANAH'!$A$2:$S$145,3,FALSE) &amp;" " &amp;VLOOKUP(H39,'IURAN TANAH'!$A$2:$S$145,4,FALSE)</f>
        <v>#N/A</v>
      </c>
      <c r="J41" s="5" t="s">
        <v>509</v>
      </c>
      <c r="K41" s="5" t="s">
        <v>507</v>
      </c>
      <c r="L41" s="5" t="e">
        <f>VLOOKUP(L39,'IURAN TANAH'!$A$2:$S$145,3,FALSE) &amp;" " &amp;VLOOKUP(L39,'IURAN TANAH'!$A$2:$S$145,4,FALSE)</f>
        <v>#N/A</v>
      </c>
    </row>
    <row r="42" spans="2:12" x14ac:dyDescent="0.25">
      <c r="B42" s="6"/>
      <c r="C42" s="6"/>
      <c r="D42" s="6"/>
      <c r="F42" s="6"/>
      <c r="G42" s="6"/>
      <c r="H42" s="6"/>
      <c r="J42" s="6"/>
      <c r="K42" s="6"/>
      <c r="L42" s="6"/>
    </row>
    <row r="43" spans="2:12" x14ac:dyDescent="0.25">
      <c r="B43" s="5" t="s">
        <v>510</v>
      </c>
      <c r="C43" s="5"/>
      <c r="D43" s="5"/>
      <c r="F43" s="5" t="s">
        <v>510</v>
      </c>
      <c r="G43" s="5"/>
      <c r="H43" s="5"/>
      <c r="J43" s="5" t="s">
        <v>510</v>
      </c>
      <c r="K43" s="5"/>
      <c r="L43" s="5"/>
    </row>
    <row r="44" spans="2:12" x14ac:dyDescent="0.25">
      <c r="B44" s="6" t="s">
        <v>511</v>
      </c>
      <c r="C44" s="6"/>
      <c r="D44" s="39" t="e">
        <f>VLOOKUP(D39,'IURAN TANAH'!$A$2:$S$145,7,FALSE)</f>
        <v>#N/A</v>
      </c>
      <c r="F44" s="6" t="s">
        <v>511</v>
      </c>
      <c r="G44" s="6"/>
      <c r="H44" s="39" t="e">
        <f>VLOOKUP(H39,'IURAN TANAH'!$A$2:$S$145,7,FALSE)</f>
        <v>#N/A</v>
      </c>
      <c r="J44" s="6" t="s">
        <v>511</v>
      </c>
      <c r="K44" s="6"/>
      <c r="L44" s="39" t="e">
        <f>VLOOKUP(L39,'IURAN TANAH'!$A$2:$S$145,7,FALSE)</f>
        <v>#N/A</v>
      </c>
    </row>
    <row r="45" spans="2:12" x14ac:dyDescent="0.25">
      <c r="B45" s="5" t="s">
        <v>512</v>
      </c>
      <c r="C45" s="5"/>
      <c r="D45" s="40" t="e">
        <f>VLOOKUP(D39,'IURAN TANAH'!$A$2:$S$145,8,FALSE)</f>
        <v>#N/A</v>
      </c>
      <c r="F45" s="5" t="s">
        <v>512</v>
      </c>
      <c r="G45" s="5"/>
      <c r="H45" s="40" t="e">
        <f>VLOOKUP(H39,'IURAN TANAH'!$A$2:$S$145,8,FALSE)</f>
        <v>#N/A</v>
      </c>
      <c r="J45" s="5" t="s">
        <v>512</v>
      </c>
      <c r="K45" s="5"/>
      <c r="L45" s="40" t="e">
        <f>VLOOKUP(L39,'IURAN TANAH'!$A$2:$S$145,8,FALSE)</f>
        <v>#N/A</v>
      </c>
    </row>
    <row r="46" spans="2:12" x14ac:dyDescent="0.25">
      <c r="B46" s="6" t="s">
        <v>513</v>
      </c>
      <c r="C46" s="6"/>
      <c r="D46" s="39" t="e">
        <f>VLOOKUP(D39,'IURAN TANAH'!$A$2:$S$145,9,FALSE)</f>
        <v>#N/A</v>
      </c>
      <c r="F46" s="6" t="s">
        <v>513</v>
      </c>
      <c r="G46" s="6"/>
      <c r="H46" s="39" t="e">
        <f>VLOOKUP(H39,'IURAN TANAH'!$A$2:$S$145,9,FALSE)</f>
        <v>#N/A</v>
      </c>
      <c r="J46" s="6" t="s">
        <v>513</v>
      </c>
      <c r="K46" s="6"/>
      <c r="L46" s="39" t="e">
        <f>VLOOKUP(L39,'IURAN TANAH'!$A$2:$S$145,9,FALSE)</f>
        <v>#N/A</v>
      </c>
    </row>
    <row r="47" spans="2:12" x14ac:dyDescent="0.25">
      <c r="B47" s="5" t="s">
        <v>514</v>
      </c>
      <c r="C47" s="5"/>
      <c r="D47" s="40" t="e">
        <f>VLOOKUP(D39,'IURAN TANAH'!$A$2:$S$145,10,FALSE)</f>
        <v>#N/A</v>
      </c>
      <c r="F47" s="5" t="s">
        <v>514</v>
      </c>
      <c r="G47" s="5"/>
      <c r="H47" s="40" t="e">
        <f>VLOOKUP(H39,'IURAN TANAH'!$A$2:$S$145,10,FALSE)</f>
        <v>#N/A</v>
      </c>
      <c r="J47" s="5" t="s">
        <v>514</v>
      </c>
      <c r="K47" s="5"/>
      <c r="L47" s="40" t="e">
        <f>VLOOKUP(L39,'IURAN TANAH'!$A$2:$S$145,10,FALSE)</f>
        <v>#N/A</v>
      </c>
    </row>
    <row r="48" spans="2:12" x14ac:dyDescent="0.25">
      <c r="B48" s="6" t="s">
        <v>515</v>
      </c>
      <c r="C48" s="6"/>
      <c r="D48" s="39" t="e">
        <f>VLOOKUP(D39,'IURAN TANAH'!$A$2:$S$145,11,FALSE)</f>
        <v>#N/A</v>
      </c>
      <c r="F48" s="6" t="s">
        <v>515</v>
      </c>
      <c r="G48" s="6"/>
      <c r="H48" s="39" t="e">
        <f>VLOOKUP(H39,'IURAN TANAH'!$A$2:$S$145,11,FALSE)</f>
        <v>#N/A</v>
      </c>
      <c r="J48" s="6" t="s">
        <v>515</v>
      </c>
      <c r="K48" s="6"/>
      <c r="L48" s="39" t="e">
        <f>VLOOKUP(L39,'IURAN TANAH'!$A$2:$S$145,11,FALSE)</f>
        <v>#N/A</v>
      </c>
    </row>
    <row r="49" spans="2:12" x14ac:dyDescent="0.25">
      <c r="B49" s="5" t="s">
        <v>516</v>
      </c>
      <c r="C49" s="5"/>
      <c r="D49" s="40" t="e">
        <f>VLOOKUP(D39,'IURAN TANAH'!$A$2:$S$145,12,FALSE)</f>
        <v>#N/A</v>
      </c>
      <c r="F49" s="5" t="s">
        <v>516</v>
      </c>
      <c r="G49" s="5"/>
      <c r="H49" s="40" t="e">
        <f>VLOOKUP(H39,'IURAN TANAH'!$A$2:$S$145,12,FALSE)</f>
        <v>#N/A</v>
      </c>
      <c r="J49" s="5" t="s">
        <v>516</v>
      </c>
      <c r="K49" s="5"/>
      <c r="L49" s="40" t="e">
        <f>VLOOKUP(L39,'IURAN TANAH'!$A$2:$S$145,12,FALSE)</f>
        <v>#N/A</v>
      </c>
    </row>
    <row r="50" spans="2:12" x14ac:dyDescent="0.25">
      <c r="B50" s="6" t="s">
        <v>517</v>
      </c>
      <c r="C50" s="6"/>
      <c r="D50" s="39" t="e">
        <f>VLOOKUP(D39,'IURAN TANAH'!$A$2:$S$145,13,FALSE)</f>
        <v>#N/A</v>
      </c>
      <c r="F50" s="6" t="s">
        <v>517</v>
      </c>
      <c r="G50" s="6"/>
      <c r="H50" s="39" t="e">
        <f>VLOOKUP(H39,'IURAN TANAH'!$A$2:$S$145,13,FALSE)</f>
        <v>#N/A</v>
      </c>
      <c r="J50" s="6" t="s">
        <v>517</v>
      </c>
      <c r="K50" s="6"/>
      <c r="L50" s="39" t="e">
        <f>VLOOKUP(L39,'IURAN TANAH'!$A$2:$S$145,13,FALSE)</f>
        <v>#N/A</v>
      </c>
    </row>
    <row r="51" spans="2:12" x14ac:dyDescent="0.25">
      <c r="B51" s="5" t="s">
        <v>518</v>
      </c>
      <c r="C51" s="5"/>
      <c r="D51" s="40" t="e">
        <f>VLOOKUP(D39,'IURAN TANAH'!$A$2:$S$145,14,FALSE)</f>
        <v>#N/A</v>
      </c>
      <c r="F51" s="5" t="s">
        <v>518</v>
      </c>
      <c r="G51" s="5"/>
      <c r="H51" s="40" t="e">
        <f>VLOOKUP(H39,'IURAN TANAH'!$A$2:$S$145,14,FALSE)</f>
        <v>#N/A</v>
      </c>
      <c r="J51" s="5" t="s">
        <v>518</v>
      </c>
      <c r="K51" s="5"/>
      <c r="L51" s="40" t="e">
        <f>VLOOKUP(L39,'IURAN TANAH'!$A$2:$S$145,14,FALSE)</f>
        <v>#N/A</v>
      </c>
    </row>
    <row r="52" spans="2:12" x14ac:dyDescent="0.25">
      <c r="B52" s="6" t="s">
        <v>519</v>
      </c>
      <c r="C52" s="6"/>
      <c r="D52" s="39" t="e">
        <f>VLOOKUP(D39,'IURAN TANAH'!$A$2:$S$145,15,FALSE)</f>
        <v>#N/A</v>
      </c>
      <c r="F52" s="6" t="s">
        <v>519</v>
      </c>
      <c r="G52" s="6"/>
      <c r="H52" s="39" t="e">
        <f>VLOOKUP(H39,'IURAN TANAH'!$A$2:$S$145,15,FALSE)</f>
        <v>#N/A</v>
      </c>
      <c r="J52" s="6" t="s">
        <v>519</v>
      </c>
      <c r="K52" s="6"/>
      <c r="L52" s="39" t="e">
        <f>VLOOKUP(L39,'IURAN TANAH'!$A$2:$S$145,15,FALSE)</f>
        <v>#N/A</v>
      </c>
    </row>
    <row r="53" spans="2:12" x14ac:dyDescent="0.25">
      <c r="B53" s="5" t="s">
        <v>520</v>
      </c>
      <c r="C53" s="5"/>
      <c r="D53" s="40" t="e">
        <f>VLOOKUP(D39,'IURAN TANAH'!$A$2:$S$145,16,FALSE)</f>
        <v>#N/A</v>
      </c>
      <c r="F53" s="5" t="s">
        <v>520</v>
      </c>
      <c r="G53" s="5"/>
      <c r="H53" s="40" t="e">
        <f>VLOOKUP(H39,'IURAN TANAH'!$A$2:$S$145,16,FALSE)</f>
        <v>#N/A</v>
      </c>
      <c r="J53" s="5" t="s">
        <v>520</v>
      </c>
      <c r="K53" s="5"/>
      <c r="L53" s="40" t="e">
        <f>VLOOKUP(L39,'IURAN TANAH'!$A$2:$S$145,16,FALSE)</f>
        <v>#N/A</v>
      </c>
    </row>
    <row r="54" spans="2:12" ht="18.75" customHeight="1" x14ac:dyDescent="0.3">
      <c r="B54" s="7" t="s">
        <v>21</v>
      </c>
      <c r="C54" s="7"/>
      <c r="D54" s="41" t="e">
        <f>SUM(D44:D53)</f>
        <v>#N/A</v>
      </c>
      <c r="F54" s="7" t="s">
        <v>21</v>
      </c>
      <c r="G54" s="7"/>
      <c r="H54" s="41" t="e">
        <f>SUM(H44:H53)</f>
        <v>#N/A</v>
      </c>
      <c r="J54" s="7" t="s">
        <v>21</v>
      </c>
      <c r="K54" s="7"/>
      <c r="L54" s="41" t="e">
        <f>SUM(L44:L53)</f>
        <v>#N/A</v>
      </c>
    </row>
    <row r="55" spans="2:12" x14ac:dyDescent="0.25">
      <c r="B55" s="5"/>
      <c r="C55" s="5"/>
      <c r="D55" s="5"/>
      <c r="F55" s="5"/>
      <c r="G55" s="5"/>
      <c r="H55" s="5"/>
      <c r="J55" s="5"/>
      <c r="K55" s="5"/>
      <c r="L55" s="5"/>
    </row>
    <row r="56" spans="2:12" ht="17.25" customHeight="1" x14ac:dyDescent="0.25"/>
    <row r="57" spans="2:12" x14ac:dyDescent="0.25">
      <c r="B57" s="5" t="s">
        <v>2</v>
      </c>
      <c r="C57" s="5" t="s">
        <v>507</v>
      </c>
      <c r="D57" s="5">
        <v>10</v>
      </c>
      <c r="F57" s="5" t="s">
        <v>2</v>
      </c>
      <c r="G57" s="5" t="s">
        <v>507</v>
      </c>
      <c r="H57" s="5">
        <v>11</v>
      </c>
      <c r="J57" s="5" t="s">
        <v>2</v>
      </c>
      <c r="K57" s="5" t="s">
        <v>507</v>
      </c>
      <c r="L57" s="5">
        <v>12</v>
      </c>
    </row>
    <row r="58" spans="2:12" x14ac:dyDescent="0.25">
      <c r="B58" s="6" t="s">
        <v>508</v>
      </c>
      <c r="C58" s="6" t="s">
        <v>507</v>
      </c>
      <c r="D58" s="6" t="e">
        <f>VLOOKUP(D57,'IURAN TANAH'!$A$2:$S$145,2,FALSE)</f>
        <v>#N/A</v>
      </c>
      <c r="F58" s="6" t="s">
        <v>508</v>
      </c>
      <c r="G58" s="6" t="s">
        <v>507</v>
      </c>
      <c r="H58" s="6" t="e">
        <f>VLOOKUP(H57,'IURAN TANAH'!$A$2:$S$145,2,FALSE)</f>
        <v>#N/A</v>
      </c>
      <c r="J58" s="6" t="s">
        <v>508</v>
      </c>
      <c r="K58" s="6" t="s">
        <v>507</v>
      </c>
      <c r="L58" s="6" t="e">
        <f>VLOOKUP(L57,'IURAN TANAH'!$A$2:$S$145,2,FALSE)</f>
        <v>#N/A</v>
      </c>
    </row>
    <row r="59" spans="2:12" x14ac:dyDescent="0.25">
      <c r="B59" s="5" t="s">
        <v>509</v>
      </c>
      <c r="C59" s="5" t="s">
        <v>507</v>
      </c>
      <c r="D59" s="5" t="e">
        <f>VLOOKUP(D57,'IURAN TANAH'!$A$2:$S$145,3,FALSE) &amp;" " &amp;VLOOKUP(D57,'IURAN TANAH'!$A$2:$S$145,4,FALSE)</f>
        <v>#N/A</v>
      </c>
      <c r="F59" s="5" t="s">
        <v>509</v>
      </c>
      <c r="G59" s="5" t="s">
        <v>507</v>
      </c>
      <c r="H59" s="5" t="e">
        <f>VLOOKUP(H57,'IURAN TANAH'!$A$2:$S$145,3,FALSE) &amp;" " &amp;VLOOKUP(H57,'IURAN TANAH'!$A$2:$S$145,4,FALSE)</f>
        <v>#N/A</v>
      </c>
      <c r="J59" s="5" t="s">
        <v>509</v>
      </c>
      <c r="K59" s="5" t="s">
        <v>507</v>
      </c>
      <c r="L59" s="5" t="e">
        <f>VLOOKUP(L57,'IURAN TANAH'!$A$2:$S$145,3,FALSE) &amp;" " &amp;VLOOKUP(L57,'IURAN TANAH'!$A$2:$S$145,4,FALSE)</f>
        <v>#N/A</v>
      </c>
    </row>
    <row r="60" spans="2:12" x14ac:dyDescent="0.25">
      <c r="B60" s="6"/>
      <c r="C60" s="6"/>
      <c r="D60" s="6"/>
      <c r="F60" s="6"/>
      <c r="G60" s="6"/>
      <c r="H60" s="6"/>
      <c r="J60" s="6"/>
      <c r="K60" s="6"/>
      <c r="L60" s="6"/>
    </row>
    <row r="61" spans="2:12" x14ac:dyDescent="0.25">
      <c r="B61" s="5" t="s">
        <v>510</v>
      </c>
      <c r="C61" s="5"/>
      <c r="D61" s="5"/>
      <c r="F61" s="5" t="s">
        <v>510</v>
      </c>
      <c r="G61" s="5"/>
      <c r="H61" s="5"/>
      <c r="J61" s="5" t="s">
        <v>510</v>
      </c>
      <c r="K61" s="5"/>
      <c r="L61" s="5"/>
    </row>
    <row r="62" spans="2:12" x14ac:dyDescent="0.25">
      <c r="B62" s="6" t="s">
        <v>511</v>
      </c>
      <c r="C62" s="6"/>
      <c r="D62" s="39" t="e">
        <f>VLOOKUP(D57,'IURAN TANAH'!$A$2:$S$145,7,FALSE)</f>
        <v>#N/A</v>
      </c>
      <c r="F62" s="6" t="s">
        <v>511</v>
      </c>
      <c r="G62" s="6"/>
      <c r="H62" s="39" t="e">
        <f>VLOOKUP(H57,'IURAN TANAH'!$A$2:$S$145,7,FALSE)</f>
        <v>#N/A</v>
      </c>
      <c r="J62" s="6" t="s">
        <v>511</v>
      </c>
      <c r="K62" s="6"/>
      <c r="L62" s="39" t="e">
        <f>VLOOKUP(L57,'IURAN TANAH'!$A$2:$S$145,7,FALSE)</f>
        <v>#N/A</v>
      </c>
    </row>
    <row r="63" spans="2:12" x14ac:dyDescent="0.25">
      <c r="B63" s="5" t="s">
        <v>512</v>
      </c>
      <c r="C63" s="5"/>
      <c r="D63" s="40" t="e">
        <f>VLOOKUP(D57,'IURAN TANAH'!$A$2:$S$145,8,FALSE)</f>
        <v>#N/A</v>
      </c>
      <c r="F63" s="5" t="s">
        <v>512</v>
      </c>
      <c r="G63" s="5"/>
      <c r="H63" s="40" t="e">
        <f>VLOOKUP(H57,'IURAN TANAH'!$A$2:$S$145,8,FALSE)</f>
        <v>#N/A</v>
      </c>
      <c r="J63" s="5" t="s">
        <v>512</v>
      </c>
      <c r="K63" s="5"/>
      <c r="L63" s="40" t="e">
        <f>VLOOKUP(L57,'IURAN TANAH'!$A$2:$S$145,8,FALSE)</f>
        <v>#N/A</v>
      </c>
    </row>
    <row r="64" spans="2:12" x14ac:dyDescent="0.25">
      <c r="B64" s="6" t="s">
        <v>513</v>
      </c>
      <c r="C64" s="6"/>
      <c r="D64" s="39" t="e">
        <f>VLOOKUP(D57,'IURAN TANAH'!$A$2:$S$145,9,FALSE)</f>
        <v>#N/A</v>
      </c>
      <c r="F64" s="6" t="s">
        <v>513</v>
      </c>
      <c r="G64" s="6"/>
      <c r="H64" s="39" t="e">
        <f>VLOOKUP(H57,'IURAN TANAH'!$A$2:$S$145,9,FALSE)</f>
        <v>#N/A</v>
      </c>
      <c r="J64" s="6" t="s">
        <v>513</v>
      </c>
      <c r="K64" s="6"/>
      <c r="L64" s="39" t="e">
        <f>VLOOKUP(L57,'IURAN TANAH'!$A$2:$S$145,9,FALSE)</f>
        <v>#N/A</v>
      </c>
    </row>
    <row r="65" spans="2:12" x14ac:dyDescent="0.25">
      <c r="B65" s="5" t="s">
        <v>514</v>
      </c>
      <c r="C65" s="5"/>
      <c r="D65" s="40" t="e">
        <f>VLOOKUP(D57,'IURAN TANAH'!$A$2:$S$145,10,FALSE)</f>
        <v>#N/A</v>
      </c>
      <c r="F65" s="5" t="s">
        <v>514</v>
      </c>
      <c r="G65" s="5"/>
      <c r="H65" s="40" t="e">
        <f>VLOOKUP(H57,'IURAN TANAH'!$A$2:$S$145,10,FALSE)</f>
        <v>#N/A</v>
      </c>
      <c r="J65" s="5" t="s">
        <v>514</v>
      </c>
      <c r="K65" s="5"/>
      <c r="L65" s="40" t="e">
        <f>VLOOKUP(L57,'IURAN TANAH'!$A$2:$S$145,10,FALSE)</f>
        <v>#N/A</v>
      </c>
    </row>
    <row r="66" spans="2:12" x14ac:dyDescent="0.25">
      <c r="B66" s="6" t="s">
        <v>515</v>
      </c>
      <c r="C66" s="6"/>
      <c r="D66" s="39" t="e">
        <f>VLOOKUP(D57,'IURAN TANAH'!$A$2:$S$145,11,FALSE)</f>
        <v>#N/A</v>
      </c>
      <c r="F66" s="6" t="s">
        <v>515</v>
      </c>
      <c r="G66" s="6"/>
      <c r="H66" s="39" t="e">
        <f>VLOOKUP(H57,'IURAN TANAH'!$A$2:$S$145,11,FALSE)</f>
        <v>#N/A</v>
      </c>
      <c r="J66" s="6" t="s">
        <v>515</v>
      </c>
      <c r="K66" s="6"/>
      <c r="L66" s="39" t="e">
        <f>VLOOKUP(L57,'IURAN TANAH'!$A$2:$S$145,11,FALSE)</f>
        <v>#N/A</v>
      </c>
    </row>
    <row r="67" spans="2:12" x14ac:dyDescent="0.25">
      <c r="B67" s="5" t="s">
        <v>516</v>
      </c>
      <c r="C67" s="5"/>
      <c r="D67" s="40" t="e">
        <f>VLOOKUP(D57,'IURAN TANAH'!$A$2:$S$145,12,FALSE)</f>
        <v>#N/A</v>
      </c>
      <c r="F67" s="5" t="s">
        <v>516</v>
      </c>
      <c r="G67" s="5"/>
      <c r="H67" s="40" t="e">
        <f>VLOOKUP(H57,'IURAN TANAH'!$A$2:$S$145,12,FALSE)</f>
        <v>#N/A</v>
      </c>
      <c r="J67" s="5" t="s">
        <v>516</v>
      </c>
      <c r="K67" s="5"/>
      <c r="L67" s="40" t="e">
        <f>VLOOKUP(L57,'IURAN TANAH'!$A$2:$S$145,12,FALSE)</f>
        <v>#N/A</v>
      </c>
    </row>
    <row r="68" spans="2:12" x14ac:dyDescent="0.25">
      <c r="B68" s="6" t="s">
        <v>517</v>
      </c>
      <c r="C68" s="6"/>
      <c r="D68" s="39" t="e">
        <f>VLOOKUP(D57,'IURAN TANAH'!$A$2:$S$145,13,FALSE)</f>
        <v>#N/A</v>
      </c>
      <c r="F68" s="6" t="s">
        <v>517</v>
      </c>
      <c r="G68" s="6"/>
      <c r="H68" s="39" t="e">
        <f>VLOOKUP(H57,'IURAN TANAH'!$A$2:$S$145,13,FALSE)</f>
        <v>#N/A</v>
      </c>
      <c r="J68" s="6" t="s">
        <v>517</v>
      </c>
      <c r="K68" s="6"/>
      <c r="L68" s="39" t="e">
        <f>VLOOKUP(L57,'IURAN TANAH'!$A$2:$S$145,13,FALSE)</f>
        <v>#N/A</v>
      </c>
    </row>
    <row r="69" spans="2:12" x14ac:dyDescent="0.25">
      <c r="B69" s="5" t="s">
        <v>518</v>
      </c>
      <c r="C69" s="5"/>
      <c r="D69" s="40" t="e">
        <f>VLOOKUP(D57,'IURAN TANAH'!$A$2:$S$145,14,FALSE)</f>
        <v>#N/A</v>
      </c>
      <c r="F69" s="5" t="s">
        <v>518</v>
      </c>
      <c r="G69" s="5"/>
      <c r="H69" s="40" t="e">
        <f>VLOOKUP(H57,'IURAN TANAH'!$A$2:$S$145,14,FALSE)</f>
        <v>#N/A</v>
      </c>
      <c r="J69" s="5" t="s">
        <v>518</v>
      </c>
      <c r="K69" s="5"/>
      <c r="L69" s="40" t="e">
        <f>VLOOKUP(L57,'IURAN TANAH'!$A$2:$S$145,14,FALSE)</f>
        <v>#N/A</v>
      </c>
    </row>
    <row r="70" spans="2:12" x14ac:dyDescent="0.25">
      <c r="B70" s="6" t="s">
        <v>519</v>
      </c>
      <c r="C70" s="6"/>
      <c r="D70" s="39" t="e">
        <f>VLOOKUP(D57,'IURAN TANAH'!$A$2:$S$145,15,FALSE)</f>
        <v>#N/A</v>
      </c>
      <c r="F70" s="6" t="s">
        <v>519</v>
      </c>
      <c r="G70" s="6"/>
      <c r="H70" s="39" t="e">
        <f>VLOOKUP(H57,'IURAN TANAH'!$A$2:$S$145,15,FALSE)</f>
        <v>#N/A</v>
      </c>
      <c r="J70" s="6" t="s">
        <v>519</v>
      </c>
      <c r="K70" s="6"/>
      <c r="L70" s="39" t="e">
        <f>VLOOKUP(L57,'IURAN TANAH'!$A$2:$S$145,15,FALSE)</f>
        <v>#N/A</v>
      </c>
    </row>
    <row r="71" spans="2:12" x14ac:dyDescent="0.25">
      <c r="B71" s="5" t="s">
        <v>520</v>
      </c>
      <c r="C71" s="5"/>
      <c r="D71" s="40" t="e">
        <f>VLOOKUP(D57,'IURAN TANAH'!$A$2:$S$145,16,FALSE)</f>
        <v>#N/A</v>
      </c>
      <c r="F71" s="5" t="s">
        <v>520</v>
      </c>
      <c r="G71" s="5"/>
      <c r="H71" s="40" t="e">
        <f>VLOOKUP(H57,'IURAN TANAH'!$A$2:$S$145,16,FALSE)</f>
        <v>#N/A</v>
      </c>
      <c r="J71" s="5" t="s">
        <v>520</v>
      </c>
      <c r="K71" s="5"/>
      <c r="L71" s="40" t="e">
        <f>VLOOKUP(L57,'IURAN TANAH'!$A$2:$S$145,16,FALSE)</f>
        <v>#N/A</v>
      </c>
    </row>
    <row r="72" spans="2:12" ht="18.75" customHeight="1" x14ac:dyDescent="0.3">
      <c r="B72" s="7" t="s">
        <v>21</v>
      </c>
      <c r="C72" s="7"/>
      <c r="D72" s="41" t="e">
        <f>SUM(D62:D71)</f>
        <v>#N/A</v>
      </c>
      <c r="F72" s="7" t="s">
        <v>21</v>
      </c>
      <c r="G72" s="7"/>
      <c r="H72" s="41" t="e">
        <f>SUM(H62:H71)</f>
        <v>#N/A</v>
      </c>
      <c r="J72" s="7" t="s">
        <v>21</v>
      </c>
      <c r="K72" s="7"/>
      <c r="L72" s="41" t="e">
        <f>SUM(L62:L71)</f>
        <v>#N/A</v>
      </c>
    </row>
    <row r="73" spans="2:12" x14ac:dyDescent="0.25">
      <c r="B73" s="5"/>
      <c r="C73" s="5"/>
      <c r="D73" s="5"/>
      <c r="F73" s="5"/>
      <c r="G73" s="5"/>
      <c r="H73" s="5"/>
      <c r="J73" s="5"/>
      <c r="K73" s="5"/>
      <c r="L73" s="5"/>
    </row>
    <row r="75" spans="2:12" x14ac:dyDescent="0.25">
      <c r="B75" s="5" t="s">
        <v>2</v>
      </c>
      <c r="C75" s="5" t="s">
        <v>507</v>
      </c>
      <c r="D75" s="5">
        <v>13</v>
      </c>
      <c r="F75" s="5" t="s">
        <v>2</v>
      </c>
      <c r="G75" s="5" t="s">
        <v>507</v>
      </c>
      <c r="H75" s="5">
        <v>14</v>
      </c>
      <c r="J75" s="5" t="s">
        <v>2</v>
      </c>
      <c r="K75" s="5" t="s">
        <v>507</v>
      </c>
      <c r="L75" s="5">
        <v>15</v>
      </c>
    </row>
    <row r="76" spans="2:12" x14ac:dyDescent="0.25">
      <c r="B76" s="6" t="s">
        <v>508</v>
      </c>
      <c r="C76" s="6" t="s">
        <v>507</v>
      </c>
      <c r="D76" s="6" t="e">
        <f>VLOOKUP(D75,'IURAN TANAH'!$A$2:$S$145,2,FALSE)</f>
        <v>#N/A</v>
      </c>
      <c r="F76" s="6" t="s">
        <v>508</v>
      </c>
      <c r="G76" s="6" t="s">
        <v>507</v>
      </c>
      <c r="H76" s="6" t="e">
        <f>VLOOKUP(H75,'IURAN TANAH'!$A$2:$S$145,2,FALSE)</f>
        <v>#N/A</v>
      </c>
      <c r="J76" s="6" t="s">
        <v>508</v>
      </c>
      <c r="K76" s="6" t="s">
        <v>507</v>
      </c>
      <c r="L76" s="6" t="e">
        <f>VLOOKUP(L75,'IURAN TANAH'!$A$2:$S$145,2,FALSE)</f>
        <v>#N/A</v>
      </c>
    </row>
    <row r="77" spans="2:12" x14ac:dyDescent="0.25">
      <c r="B77" s="5" t="s">
        <v>509</v>
      </c>
      <c r="C77" s="5" t="s">
        <v>507</v>
      </c>
      <c r="D77" s="5" t="e">
        <f>VLOOKUP(D75,'IURAN TANAH'!$A$2:$S$145,3,FALSE) &amp;" " &amp;VLOOKUP(D75,'IURAN TANAH'!$A$2:$S$145,4,FALSE)</f>
        <v>#N/A</v>
      </c>
      <c r="F77" s="5" t="s">
        <v>509</v>
      </c>
      <c r="G77" s="5" t="s">
        <v>507</v>
      </c>
      <c r="H77" s="5" t="e">
        <f>VLOOKUP(H75,'IURAN TANAH'!$A$2:$S$145,3,FALSE) &amp;" " &amp;VLOOKUP(H75,'IURAN TANAH'!$A$2:$S$145,4,FALSE)</f>
        <v>#N/A</v>
      </c>
      <c r="J77" s="5" t="s">
        <v>509</v>
      </c>
      <c r="K77" s="5" t="s">
        <v>507</v>
      </c>
      <c r="L77" s="5" t="e">
        <f>VLOOKUP(L75,'IURAN TANAH'!$A$2:$S$145,3,FALSE) &amp;" " &amp;VLOOKUP(L75,'IURAN TANAH'!$A$2:$S$145,4,FALSE)</f>
        <v>#N/A</v>
      </c>
    </row>
    <row r="78" spans="2:12" x14ac:dyDescent="0.25">
      <c r="B78" s="6"/>
      <c r="C78" s="6"/>
      <c r="D78" s="6"/>
      <c r="F78" s="6"/>
      <c r="G78" s="6"/>
      <c r="H78" s="6"/>
      <c r="J78" s="6"/>
      <c r="K78" s="6"/>
      <c r="L78" s="6"/>
    </row>
    <row r="79" spans="2:12" x14ac:dyDescent="0.25">
      <c r="B79" s="5" t="s">
        <v>510</v>
      </c>
      <c r="C79" s="5"/>
      <c r="D79" s="5"/>
      <c r="F79" s="5" t="s">
        <v>510</v>
      </c>
      <c r="G79" s="5"/>
      <c r="H79" s="5"/>
      <c r="J79" s="5" t="s">
        <v>510</v>
      </c>
      <c r="K79" s="5"/>
      <c r="L79" s="5"/>
    </row>
    <row r="80" spans="2:12" x14ac:dyDescent="0.25">
      <c r="B80" s="6" t="s">
        <v>511</v>
      </c>
      <c r="C80" s="6"/>
      <c r="D80" s="39" t="e">
        <f>VLOOKUP(D75,'IURAN TANAH'!$A$2:$S$145,7,FALSE)</f>
        <v>#N/A</v>
      </c>
      <c r="F80" s="6" t="s">
        <v>511</v>
      </c>
      <c r="G80" s="6"/>
      <c r="H80" s="39" t="e">
        <f>VLOOKUP(H75,'IURAN TANAH'!$A$2:$S$145,7,FALSE)</f>
        <v>#N/A</v>
      </c>
      <c r="J80" s="6" t="s">
        <v>511</v>
      </c>
      <c r="K80" s="6"/>
      <c r="L80" s="39" t="e">
        <f>VLOOKUP(L75,'IURAN TANAH'!$A$2:$S$145,7,FALSE)</f>
        <v>#N/A</v>
      </c>
    </row>
    <row r="81" spans="2:12" x14ac:dyDescent="0.25">
      <c r="B81" s="5" t="s">
        <v>512</v>
      </c>
      <c r="C81" s="5"/>
      <c r="D81" s="40" t="e">
        <f>VLOOKUP(D75,'IURAN TANAH'!$A$2:$S$145,8,FALSE)</f>
        <v>#N/A</v>
      </c>
      <c r="F81" s="5" t="s">
        <v>512</v>
      </c>
      <c r="G81" s="5"/>
      <c r="H81" s="40" t="e">
        <f>VLOOKUP(H75,'IURAN TANAH'!$A$2:$S$145,8,FALSE)</f>
        <v>#N/A</v>
      </c>
      <c r="J81" s="5" t="s">
        <v>512</v>
      </c>
      <c r="K81" s="5"/>
      <c r="L81" s="40" t="e">
        <f>VLOOKUP(L75,'IURAN TANAH'!$A$2:$S$145,8,FALSE)</f>
        <v>#N/A</v>
      </c>
    </row>
    <row r="82" spans="2:12" x14ac:dyDescent="0.25">
      <c r="B82" s="6" t="s">
        <v>513</v>
      </c>
      <c r="C82" s="6"/>
      <c r="D82" s="39" t="e">
        <f>VLOOKUP(D75,'IURAN TANAH'!$A$2:$S$145,9,FALSE)</f>
        <v>#N/A</v>
      </c>
      <c r="F82" s="6" t="s">
        <v>513</v>
      </c>
      <c r="G82" s="6"/>
      <c r="H82" s="39" t="e">
        <f>VLOOKUP(H75,'IURAN TANAH'!$A$2:$S$145,9,FALSE)</f>
        <v>#N/A</v>
      </c>
      <c r="J82" s="6" t="s">
        <v>513</v>
      </c>
      <c r="K82" s="6"/>
      <c r="L82" s="39" t="e">
        <f>VLOOKUP(L75,'IURAN TANAH'!$A$2:$S$145,9,FALSE)</f>
        <v>#N/A</v>
      </c>
    </row>
    <row r="83" spans="2:12" x14ac:dyDescent="0.25">
      <c r="B83" s="5" t="s">
        <v>514</v>
      </c>
      <c r="C83" s="5"/>
      <c r="D83" s="40" t="e">
        <f>VLOOKUP(D75,'IURAN TANAH'!$A$2:$S$145,10,FALSE)</f>
        <v>#N/A</v>
      </c>
      <c r="F83" s="5" t="s">
        <v>514</v>
      </c>
      <c r="G83" s="5"/>
      <c r="H83" s="40" t="e">
        <f>VLOOKUP(H75,'IURAN TANAH'!$A$2:$S$145,10,FALSE)</f>
        <v>#N/A</v>
      </c>
      <c r="J83" s="5" t="s">
        <v>514</v>
      </c>
      <c r="K83" s="5"/>
      <c r="L83" s="40" t="e">
        <f>VLOOKUP(L75,'IURAN TANAH'!$A$2:$S$145,10,FALSE)</f>
        <v>#N/A</v>
      </c>
    </row>
    <row r="84" spans="2:12" x14ac:dyDescent="0.25">
      <c r="B84" s="6" t="s">
        <v>515</v>
      </c>
      <c r="C84" s="6"/>
      <c r="D84" s="39" t="e">
        <f>VLOOKUP(D75,'IURAN TANAH'!$A$2:$S$145,11,FALSE)</f>
        <v>#N/A</v>
      </c>
      <c r="F84" s="6" t="s">
        <v>515</v>
      </c>
      <c r="G84" s="6"/>
      <c r="H84" s="39" t="e">
        <f>VLOOKUP(H75,'IURAN TANAH'!$A$2:$S$145,11,FALSE)</f>
        <v>#N/A</v>
      </c>
      <c r="J84" s="6" t="s">
        <v>515</v>
      </c>
      <c r="K84" s="6"/>
      <c r="L84" s="39" t="e">
        <f>VLOOKUP(L75,'IURAN TANAH'!$A$2:$S$145,11,FALSE)</f>
        <v>#N/A</v>
      </c>
    </row>
    <row r="85" spans="2:12" x14ac:dyDescent="0.25">
      <c r="B85" s="5" t="s">
        <v>516</v>
      </c>
      <c r="C85" s="5"/>
      <c r="D85" s="40" t="e">
        <f>VLOOKUP(D75,'IURAN TANAH'!$A$2:$S$145,12,FALSE)</f>
        <v>#N/A</v>
      </c>
      <c r="F85" s="5" t="s">
        <v>516</v>
      </c>
      <c r="G85" s="5"/>
      <c r="H85" s="40" t="e">
        <f>VLOOKUP(H75,'IURAN TANAH'!$A$2:$S$145,12,FALSE)</f>
        <v>#N/A</v>
      </c>
      <c r="J85" s="5" t="s">
        <v>516</v>
      </c>
      <c r="K85" s="5"/>
      <c r="L85" s="40" t="e">
        <f>VLOOKUP(L75,'IURAN TANAH'!$A$2:$S$145,12,FALSE)</f>
        <v>#N/A</v>
      </c>
    </row>
    <row r="86" spans="2:12" x14ac:dyDescent="0.25">
      <c r="B86" s="6" t="s">
        <v>517</v>
      </c>
      <c r="C86" s="6"/>
      <c r="D86" s="39" t="e">
        <f>VLOOKUP(D75,'IURAN TANAH'!$A$2:$S$145,13,FALSE)</f>
        <v>#N/A</v>
      </c>
      <c r="F86" s="6" t="s">
        <v>517</v>
      </c>
      <c r="G86" s="6"/>
      <c r="H86" s="39" t="e">
        <f>VLOOKUP(H75,'IURAN TANAH'!$A$2:$S$145,13,FALSE)</f>
        <v>#N/A</v>
      </c>
      <c r="J86" s="6" t="s">
        <v>517</v>
      </c>
      <c r="K86" s="6"/>
      <c r="L86" s="39" t="e">
        <f>VLOOKUP(L75,'IURAN TANAH'!$A$2:$S$145,13,FALSE)</f>
        <v>#N/A</v>
      </c>
    </row>
    <row r="87" spans="2:12" x14ac:dyDescent="0.25">
      <c r="B87" s="5" t="s">
        <v>518</v>
      </c>
      <c r="C87" s="5"/>
      <c r="D87" s="40" t="e">
        <f>VLOOKUP(D75,'IURAN TANAH'!$A$2:$S$145,14,FALSE)</f>
        <v>#N/A</v>
      </c>
      <c r="F87" s="5" t="s">
        <v>518</v>
      </c>
      <c r="G87" s="5"/>
      <c r="H87" s="40" t="e">
        <f>VLOOKUP(H75,'IURAN TANAH'!$A$2:$S$145,14,FALSE)</f>
        <v>#N/A</v>
      </c>
      <c r="J87" s="5" t="s">
        <v>518</v>
      </c>
      <c r="K87" s="5"/>
      <c r="L87" s="40" t="e">
        <f>VLOOKUP(L75,'IURAN TANAH'!$A$2:$S$145,14,FALSE)</f>
        <v>#N/A</v>
      </c>
    </row>
    <row r="88" spans="2:12" x14ac:dyDescent="0.25">
      <c r="B88" s="6" t="s">
        <v>519</v>
      </c>
      <c r="C88" s="6"/>
      <c r="D88" s="39" t="e">
        <f>VLOOKUP(D75,'IURAN TANAH'!$A$2:$S$145,15,FALSE)</f>
        <v>#N/A</v>
      </c>
      <c r="F88" s="6" t="s">
        <v>519</v>
      </c>
      <c r="G88" s="6"/>
      <c r="H88" s="39" t="e">
        <f>VLOOKUP(H75,'IURAN TANAH'!$A$2:$S$145,15,FALSE)</f>
        <v>#N/A</v>
      </c>
      <c r="J88" s="6" t="s">
        <v>519</v>
      </c>
      <c r="K88" s="6"/>
      <c r="L88" s="39" t="e">
        <f>VLOOKUP(L75,'IURAN TANAH'!$A$2:$S$145,15,FALSE)</f>
        <v>#N/A</v>
      </c>
    </row>
    <row r="89" spans="2:12" x14ac:dyDescent="0.25">
      <c r="B89" s="5" t="s">
        <v>520</v>
      </c>
      <c r="C89" s="5"/>
      <c r="D89" s="40" t="e">
        <f>VLOOKUP(D75,'IURAN TANAH'!$A$2:$S$145,16,FALSE)</f>
        <v>#N/A</v>
      </c>
      <c r="F89" s="5" t="s">
        <v>520</v>
      </c>
      <c r="G89" s="5"/>
      <c r="H89" s="40" t="e">
        <f>VLOOKUP(H75,'IURAN TANAH'!$A$2:$S$145,16,FALSE)</f>
        <v>#N/A</v>
      </c>
      <c r="J89" s="5" t="s">
        <v>520</v>
      </c>
      <c r="K89" s="5"/>
      <c r="L89" s="40" t="e">
        <f>VLOOKUP(L75,'IURAN TANAH'!$A$2:$S$145,16,FALSE)</f>
        <v>#N/A</v>
      </c>
    </row>
    <row r="90" spans="2:12" ht="18.75" customHeight="1" x14ac:dyDescent="0.3">
      <c r="B90" s="7" t="s">
        <v>21</v>
      </c>
      <c r="C90" s="7"/>
      <c r="D90" s="41" t="e">
        <f>SUM(D80:D89)</f>
        <v>#N/A</v>
      </c>
      <c r="F90" s="7" t="s">
        <v>21</v>
      </c>
      <c r="G90" s="7"/>
      <c r="H90" s="41" t="e">
        <f>SUM(H80:H89)</f>
        <v>#N/A</v>
      </c>
      <c r="J90" s="7" t="s">
        <v>21</v>
      </c>
      <c r="K90" s="7"/>
      <c r="L90" s="41" t="e">
        <f>SUM(L80:L89)</f>
        <v>#N/A</v>
      </c>
    </row>
    <row r="91" spans="2:12" x14ac:dyDescent="0.25">
      <c r="B91" s="5"/>
      <c r="C91" s="5"/>
      <c r="D91" s="5"/>
      <c r="F91" s="5"/>
      <c r="G91" s="5"/>
      <c r="H91" s="5"/>
      <c r="J91" s="5"/>
      <c r="K91" s="5"/>
      <c r="L91" s="5"/>
    </row>
    <row r="94" spans="2:12" x14ac:dyDescent="0.25">
      <c r="B94" s="5" t="s">
        <v>2</v>
      </c>
      <c r="C94" s="5" t="s">
        <v>507</v>
      </c>
      <c r="D94" s="5">
        <v>16</v>
      </c>
      <c r="F94" s="5" t="s">
        <v>2</v>
      </c>
      <c r="G94" s="5" t="s">
        <v>507</v>
      </c>
      <c r="H94" s="5">
        <v>17</v>
      </c>
      <c r="J94" s="5" t="s">
        <v>2</v>
      </c>
      <c r="K94" s="5" t="s">
        <v>507</v>
      </c>
      <c r="L94" s="5">
        <v>18</v>
      </c>
    </row>
    <row r="95" spans="2:12" x14ac:dyDescent="0.25">
      <c r="B95" s="6" t="s">
        <v>508</v>
      </c>
      <c r="C95" s="6" t="s">
        <v>507</v>
      </c>
      <c r="D95" s="6" t="e">
        <f>VLOOKUP(D94,'IURAN TANAH'!$A$2:$S$145,2,FALSE)</f>
        <v>#N/A</v>
      </c>
      <c r="F95" s="6" t="s">
        <v>508</v>
      </c>
      <c r="G95" s="6" t="s">
        <v>507</v>
      </c>
      <c r="H95" s="6" t="e">
        <f>VLOOKUP(H94,'IURAN TANAH'!$A$2:$S$145,2,FALSE)</f>
        <v>#N/A</v>
      </c>
      <c r="J95" s="6" t="s">
        <v>508</v>
      </c>
      <c r="K95" s="6" t="s">
        <v>507</v>
      </c>
      <c r="L95" s="6" t="e">
        <f>VLOOKUP(L94,'IURAN TANAH'!$A$2:$S$145,2,FALSE)</f>
        <v>#N/A</v>
      </c>
    </row>
    <row r="96" spans="2:12" x14ac:dyDescent="0.25">
      <c r="B96" s="5" t="s">
        <v>509</v>
      </c>
      <c r="C96" s="5" t="s">
        <v>507</v>
      </c>
      <c r="D96" s="5" t="e">
        <f>VLOOKUP(D94,'IURAN TANAH'!$A$2:$S$145,3,FALSE) &amp;" " &amp;VLOOKUP(D94,'IURAN TANAH'!$A$2:$S$145,4,FALSE)</f>
        <v>#N/A</v>
      </c>
      <c r="F96" s="5" t="s">
        <v>509</v>
      </c>
      <c r="G96" s="5" t="s">
        <v>507</v>
      </c>
      <c r="H96" s="5" t="e">
        <f>VLOOKUP(H94,'IURAN TANAH'!$A$2:$S$145,3,FALSE) &amp;" " &amp;VLOOKUP(H94,'IURAN TANAH'!$A$2:$S$145,4,FALSE)</f>
        <v>#N/A</v>
      </c>
      <c r="J96" s="5" t="s">
        <v>509</v>
      </c>
      <c r="K96" s="5" t="s">
        <v>507</v>
      </c>
      <c r="L96" s="5" t="e">
        <f>VLOOKUP(L94,'IURAN TANAH'!$A$2:$S$145,3,FALSE) &amp;" " &amp;VLOOKUP(L94,'IURAN TANAH'!$A$2:$S$145,4,FALSE)</f>
        <v>#N/A</v>
      </c>
    </row>
    <row r="97" spans="2:12" x14ac:dyDescent="0.25">
      <c r="B97" s="6"/>
      <c r="C97" s="6"/>
      <c r="D97" s="6"/>
      <c r="F97" s="6"/>
      <c r="G97" s="6"/>
      <c r="H97" s="6"/>
      <c r="J97" s="6"/>
      <c r="K97" s="6"/>
      <c r="L97" s="6"/>
    </row>
    <row r="98" spans="2:12" x14ac:dyDescent="0.25">
      <c r="B98" s="5" t="s">
        <v>510</v>
      </c>
      <c r="C98" s="5"/>
      <c r="D98" s="5"/>
      <c r="F98" s="5" t="s">
        <v>510</v>
      </c>
      <c r="G98" s="5"/>
      <c r="H98" s="5"/>
      <c r="J98" s="5" t="s">
        <v>510</v>
      </c>
      <c r="K98" s="5"/>
      <c r="L98" s="5"/>
    </row>
    <row r="99" spans="2:12" x14ac:dyDescent="0.25">
      <c r="B99" s="6" t="s">
        <v>511</v>
      </c>
      <c r="C99" s="6"/>
      <c r="D99" s="39" t="e">
        <f>VLOOKUP(D94,'IURAN TANAH'!$A$2:$S$145,7,FALSE)</f>
        <v>#N/A</v>
      </c>
      <c r="F99" s="6" t="s">
        <v>511</v>
      </c>
      <c r="G99" s="6"/>
      <c r="H99" s="39" t="e">
        <f>VLOOKUP(H94,'IURAN TANAH'!$A$2:$S$145,7,FALSE)</f>
        <v>#N/A</v>
      </c>
      <c r="J99" s="6" t="s">
        <v>511</v>
      </c>
      <c r="K99" s="6"/>
      <c r="L99" s="39" t="e">
        <f>VLOOKUP(L94,'IURAN TANAH'!$A$2:$S$145,7,FALSE)</f>
        <v>#N/A</v>
      </c>
    </row>
    <row r="100" spans="2:12" x14ac:dyDescent="0.25">
      <c r="B100" s="5" t="s">
        <v>512</v>
      </c>
      <c r="C100" s="5"/>
      <c r="D100" s="40" t="e">
        <f>VLOOKUP(D94,'IURAN TANAH'!$A$2:$S$145,8,FALSE)</f>
        <v>#N/A</v>
      </c>
      <c r="F100" s="5" t="s">
        <v>512</v>
      </c>
      <c r="G100" s="5"/>
      <c r="H100" s="40" t="e">
        <f>VLOOKUP(H94,'IURAN TANAH'!$A$2:$S$145,8,FALSE)</f>
        <v>#N/A</v>
      </c>
      <c r="J100" s="5" t="s">
        <v>512</v>
      </c>
      <c r="K100" s="5"/>
      <c r="L100" s="40" t="e">
        <f>VLOOKUP(L94,'IURAN TANAH'!$A$2:$S$145,8,FALSE)</f>
        <v>#N/A</v>
      </c>
    </row>
    <row r="101" spans="2:12" x14ac:dyDescent="0.25">
      <c r="B101" s="6" t="s">
        <v>513</v>
      </c>
      <c r="C101" s="6"/>
      <c r="D101" s="39" t="e">
        <f>VLOOKUP(D94,'IURAN TANAH'!$A$2:$S$145,9,FALSE)</f>
        <v>#N/A</v>
      </c>
      <c r="F101" s="6" t="s">
        <v>513</v>
      </c>
      <c r="G101" s="6"/>
      <c r="H101" s="39" t="e">
        <f>VLOOKUP(H94,'IURAN TANAH'!$A$2:$S$145,9,FALSE)</f>
        <v>#N/A</v>
      </c>
      <c r="J101" s="6" t="s">
        <v>513</v>
      </c>
      <c r="K101" s="6"/>
      <c r="L101" s="39" t="e">
        <f>VLOOKUP(L94,'IURAN TANAH'!$A$2:$S$145,9,FALSE)</f>
        <v>#N/A</v>
      </c>
    </row>
    <row r="102" spans="2:12" x14ac:dyDescent="0.25">
      <c r="B102" s="5" t="s">
        <v>514</v>
      </c>
      <c r="C102" s="5"/>
      <c r="D102" s="40" t="e">
        <f>VLOOKUP(D94,'IURAN TANAH'!$A$2:$S$145,10,FALSE)</f>
        <v>#N/A</v>
      </c>
      <c r="F102" s="5" t="s">
        <v>514</v>
      </c>
      <c r="G102" s="5"/>
      <c r="H102" s="40" t="e">
        <f>VLOOKUP(H94,'IURAN TANAH'!$A$2:$S$145,10,FALSE)</f>
        <v>#N/A</v>
      </c>
      <c r="J102" s="5" t="s">
        <v>514</v>
      </c>
      <c r="K102" s="5"/>
      <c r="L102" s="40" t="e">
        <f>VLOOKUP(L94,'IURAN TANAH'!$A$2:$S$145,10,FALSE)</f>
        <v>#N/A</v>
      </c>
    </row>
    <row r="103" spans="2:12" x14ac:dyDescent="0.25">
      <c r="B103" s="6" t="s">
        <v>515</v>
      </c>
      <c r="C103" s="6"/>
      <c r="D103" s="39" t="e">
        <f>VLOOKUP(D94,'IURAN TANAH'!$A$2:$S$145,11,FALSE)</f>
        <v>#N/A</v>
      </c>
      <c r="F103" s="6" t="s">
        <v>515</v>
      </c>
      <c r="G103" s="6"/>
      <c r="H103" s="39" t="e">
        <f>VLOOKUP(H94,'IURAN TANAH'!$A$2:$S$145,11,FALSE)</f>
        <v>#N/A</v>
      </c>
      <c r="J103" s="6" t="s">
        <v>515</v>
      </c>
      <c r="K103" s="6"/>
      <c r="L103" s="39" t="e">
        <f>VLOOKUP(L94,'IURAN TANAH'!$A$2:$S$145,11,FALSE)</f>
        <v>#N/A</v>
      </c>
    </row>
    <row r="104" spans="2:12" x14ac:dyDescent="0.25">
      <c r="B104" s="5" t="s">
        <v>516</v>
      </c>
      <c r="C104" s="5"/>
      <c r="D104" s="40" t="e">
        <f>VLOOKUP(D94,'IURAN TANAH'!$A$2:$S$145,12,FALSE)</f>
        <v>#N/A</v>
      </c>
      <c r="F104" s="5" t="s">
        <v>516</v>
      </c>
      <c r="G104" s="5"/>
      <c r="H104" s="40" t="e">
        <f>VLOOKUP(H94,'IURAN TANAH'!$A$2:$S$145,12,FALSE)</f>
        <v>#N/A</v>
      </c>
      <c r="J104" s="5" t="s">
        <v>516</v>
      </c>
      <c r="K104" s="5"/>
      <c r="L104" s="40" t="e">
        <f>VLOOKUP(L94,'IURAN TANAH'!$A$2:$S$145,12,FALSE)</f>
        <v>#N/A</v>
      </c>
    </row>
    <row r="105" spans="2:12" x14ac:dyDescent="0.25">
      <c r="B105" s="6" t="s">
        <v>517</v>
      </c>
      <c r="C105" s="6"/>
      <c r="D105" s="39" t="e">
        <f>VLOOKUP(D94,'IURAN TANAH'!$A$2:$S$145,13,FALSE)</f>
        <v>#N/A</v>
      </c>
      <c r="F105" s="6" t="s">
        <v>517</v>
      </c>
      <c r="G105" s="6"/>
      <c r="H105" s="39" t="e">
        <f>VLOOKUP(H94,'IURAN TANAH'!$A$2:$S$145,13,FALSE)</f>
        <v>#N/A</v>
      </c>
      <c r="J105" s="6" t="s">
        <v>517</v>
      </c>
      <c r="K105" s="6"/>
      <c r="L105" s="39" t="e">
        <f>VLOOKUP(L94,'IURAN TANAH'!$A$2:$S$145,13,FALSE)</f>
        <v>#N/A</v>
      </c>
    </row>
    <row r="106" spans="2:12" x14ac:dyDescent="0.25">
      <c r="B106" s="5" t="s">
        <v>518</v>
      </c>
      <c r="C106" s="5"/>
      <c r="D106" s="40" t="e">
        <f>VLOOKUP(D94,'IURAN TANAH'!$A$2:$S$145,14,FALSE)</f>
        <v>#N/A</v>
      </c>
      <c r="F106" s="5" t="s">
        <v>518</v>
      </c>
      <c r="G106" s="5"/>
      <c r="H106" s="40" t="e">
        <f>VLOOKUP(H94,'IURAN TANAH'!$A$2:$S$145,14,FALSE)</f>
        <v>#N/A</v>
      </c>
      <c r="J106" s="5" t="s">
        <v>518</v>
      </c>
      <c r="K106" s="5"/>
      <c r="L106" s="40" t="e">
        <f>VLOOKUP(L94,'IURAN TANAH'!$A$2:$S$145,14,FALSE)</f>
        <v>#N/A</v>
      </c>
    </row>
    <row r="107" spans="2:12" x14ac:dyDescent="0.25">
      <c r="B107" s="6" t="s">
        <v>519</v>
      </c>
      <c r="C107" s="6"/>
      <c r="D107" s="39" t="e">
        <f>VLOOKUP(D94,'IURAN TANAH'!$A$2:$S$145,15,FALSE)</f>
        <v>#N/A</v>
      </c>
      <c r="F107" s="6" t="s">
        <v>519</v>
      </c>
      <c r="G107" s="6"/>
      <c r="H107" s="39" t="e">
        <f>VLOOKUP(H94,'IURAN TANAH'!$A$2:$S$145,15,FALSE)</f>
        <v>#N/A</v>
      </c>
      <c r="J107" s="6" t="s">
        <v>519</v>
      </c>
      <c r="K107" s="6"/>
      <c r="L107" s="39" t="e">
        <f>VLOOKUP(L94,'IURAN TANAH'!$A$2:$S$145,15,FALSE)</f>
        <v>#N/A</v>
      </c>
    </row>
    <row r="108" spans="2:12" x14ac:dyDescent="0.25">
      <c r="B108" s="5" t="s">
        <v>520</v>
      </c>
      <c r="C108" s="5"/>
      <c r="D108" s="40" t="e">
        <f>VLOOKUP(D94,'IURAN TANAH'!$A$2:$S$145,16,FALSE)</f>
        <v>#N/A</v>
      </c>
      <c r="F108" s="5" t="s">
        <v>520</v>
      </c>
      <c r="G108" s="5"/>
      <c r="H108" s="40" t="e">
        <f>VLOOKUP(H94,'IURAN TANAH'!$A$2:$S$145,16,FALSE)</f>
        <v>#N/A</v>
      </c>
      <c r="J108" s="5" t="s">
        <v>520</v>
      </c>
      <c r="K108" s="5"/>
      <c r="L108" s="40" t="e">
        <f>VLOOKUP(L94,'IURAN TANAH'!$A$2:$S$145,16,FALSE)</f>
        <v>#N/A</v>
      </c>
    </row>
    <row r="109" spans="2:12" ht="18.75" customHeight="1" x14ac:dyDescent="0.3">
      <c r="B109" s="7" t="s">
        <v>21</v>
      </c>
      <c r="C109" s="7"/>
      <c r="D109" s="41" t="e">
        <f>SUM(D99:D108)</f>
        <v>#N/A</v>
      </c>
      <c r="F109" s="7" t="s">
        <v>21</v>
      </c>
      <c r="G109" s="7"/>
      <c r="H109" s="41" t="e">
        <f>SUM(H99:H108)</f>
        <v>#N/A</v>
      </c>
      <c r="J109" s="7" t="s">
        <v>21</v>
      </c>
      <c r="K109" s="7"/>
      <c r="L109" s="41" t="e">
        <f>SUM(L99:L108)</f>
        <v>#N/A</v>
      </c>
    </row>
    <row r="110" spans="2:12" x14ac:dyDescent="0.25">
      <c r="B110" s="5"/>
      <c r="C110" s="5"/>
      <c r="D110" s="5"/>
      <c r="F110" s="5"/>
      <c r="G110" s="5"/>
      <c r="H110" s="5"/>
      <c r="J110" s="5"/>
      <c r="K110" s="5"/>
      <c r="L110" s="5"/>
    </row>
    <row r="112" spans="2:12" x14ac:dyDescent="0.25">
      <c r="B112" s="5" t="s">
        <v>2</v>
      </c>
      <c r="C112" s="5" t="s">
        <v>507</v>
      </c>
      <c r="D112" s="5">
        <v>19</v>
      </c>
      <c r="F112" s="5" t="s">
        <v>2</v>
      </c>
      <c r="G112" s="5" t="s">
        <v>507</v>
      </c>
      <c r="H112" s="5">
        <v>20</v>
      </c>
      <c r="J112" s="5" t="s">
        <v>2</v>
      </c>
      <c r="K112" s="5" t="s">
        <v>507</v>
      </c>
      <c r="L112" s="5">
        <v>21</v>
      </c>
    </row>
    <row r="113" spans="2:12" x14ac:dyDescent="0.25">
      <c r="B113" s="6" t="s">
        <v>508</v>
      </c>
      <c r="C113" s="6" t="s">
        <v>507</v>
      </c>
      <c r="D113" s="6" t="e">
        <f>VLOOKUP(D112,'IURAN TANAH'!$A$2:$S$145,2,FALSE)</f>
        <v>#N/A</v>
      </c>
      <c r="F113" s="6" t="s">
        <v>508</v>
      </c>
      <c r="G113" s="6" t="s">
        <v>507</v>
      </c>
      <c r="H113" s="6" t="e">
        <f>VLOOKUP(H112,'IURAN TANAH'!$A$2:$S$145,2,FALSE)</f>
        <v>#N/A</v>
      </c>
      <c r="J113" s="6" t="s">
        <v>508</v>
      </c>
      <c r="K113" s="6" t="s">
        <v>507</v>
      </c>
      <c r="L113" s="6" t="e">
        <f>VLOOKUP(L112,'IURAN TANAH'!$A$2:$S$145,2,FALSE)</f>
        <v>#N/A</v>
      </c>
    </row>
    <row r="114" spans="2:12" x14ac:dyDescent="0.25">
      <c r="B114" s="5" t="s">
        <v>509</v>
      </c>
      <c r="C114" s="5" t="s">
        <v>507</v>
      </c>
      <c r="D114" s="5" t="e">
        <f>VLOOKUP(D112,'IURAN TANAH'!$A$2:$S$145,3,FALSE) &amp;" " &amp;VLOOKUP(D112,'IURAN TANAH'!$A$2:$S$145,4,FALSE)</f>
        <v>#N/A</v>
      </c>
      <c r="F114" s="5" t="s">
        <v>509</v>
      </c>
      <c r="G114" s="5" t="s">
        <v>507</v>
      </c>
      <c r="H114" s="5" t="e">
        <f>VLOOKUP(H112,'IURAN TANAH'!$A$2:$S$145,3,FALSE) &amp;" " &amp;VLOOKUP(H112,'IURAN TANAH'!$A$2:$S$145,4,FALSE)</f>
        <v>#N/A</v>
      </c>
      <c r="J114" s="5" t="s">
        <v>509</v>
      </c>
      <c r="K114" s="5" t="s">
        <v>507</v>
      </c>
      <c r="L114" s="5" t="e">
        <f>VLOOKUP(L112,'IURAN TANAH'!$A$2:$S$145,3,FALSE) &amp;" " &amp;VLOOKUP(L112,'IURAN TANAH'!$A$2:$S$145,4,FALSE)</f>
        <v>#N/A</v>
      </c>
    </row>
    <row r="115" spans="2:12" x14ac:dyDescent="0.25">
      <c r="B115" s="6"/>
      <c r="C115" s="6"/>
      <c r="D115" s="6"/>
      <c r="F115" s="6"/>
      <c r="G115" s="6"/>
      <c r="H115" s="6"/>
      <c r="J115" s="6"/>
      <c r="K115" s="6"/>
      <c r="L115" s="6"/>
    </row>
    <row r="116" spans="2:12" x14ac:dyDescent="0.25">
      <c r="B116" s="5" t="s">
        <v>510</v>
      </c>
      <c r="C116" s="5"/>
      <c r="D116" s="5"/>
      <c r="F116" s="5" t="s">
        <v>510</v>
      </c>
      <c r="G116" s="5"/>
      <c r="H116" s="5"/>
      <c r="J116" s="5" t="s">
        <v>510</v>
      </c>
      <c r="K116" s="5"/>
      <c r="L116" s="5"/>
    </row>
    <row r="117" spans="2:12" x14ac:dyDescent="0.25">
      <c r="B117" s="6" t="s">
        <v>511</v>
      </c>
      <c r="C117" s="6"/>
      <c r="D117" s="39" t="e">
        <f>VLOOKUP(D112,'IURAN TANAH'!$A$2:$S$145,7,FALSE)</f>
        <v>#N/A</v>
      </c>
      <c r="F117" s="6" t="s">
        <v>511</v>
      </c>
      <c r="G117" s="6"/>
      <c r="H117" s="39" t="e">
        <f>VLOOKUP(H112,'IURAN TANAH'!$A$2:$S$145,7,FALSE)</f>
        <v>#N/A</v>
      </c>
      <c r="J117" s="6" t="s">
        <v>511</v>
      </c>
      <c r="K117" s="6"/>
      <c r="L117" s="39" t="e">
        <f>VLOOKUP(L112,'IURAN TANAH'!$A$2:$S$145,7,FALSE)</f>
        <v>#N/A</v>
      </c>
    </row>
    <row r="118" spans="2:12" x14ac:dyDescent="0.25">
      <c r="B118" s="5" t="s">
        <v>512</v>
      </c>
      <c r="C118" s="5"/>
      <c r="D118" s="40" t="e">
        <f>VLOOKUP(D112,'IURAN TANAH'!$A$2:$S$145,8,FALSE)</f>
        <v>#N/A</v>
      </c>
      <c r="F118" s="5" t="s">
        <v>512</v>
      </c>
      <c r="G118" s="5"/>
      <c r="H118" s="40" t="e">
        <f>VLOOKUP(H112,'IURAN TANAH'!$A$2:$S$145,8,FALSE)</f>
        <v>#N/A</v>
      </c>
      <c r="J118" s="5" t="s">
        <v>512</v>
      </c>
      <c r="K118" s="5"/>
      <c r="L118" s="40" t="e">
        <f>VLOOKUP(L112,'IURAN TANAH'!$A$2:$S$145,8,FALSE)</f>
        <v>#N/A</v>
      </c>
    </row>
    <row r="119" spans="2:12" x14ac:dyDescent="0.25">
      <c r="B119" s="6" t="s">
        <v>513</v>
      </c>
      <c r="C119" s="6"/>
      <c r="D119" s="39" t="e">
        <f>VLOOKUP(D112,'IURAN TANAH'!$A$2:$S$145,9,FALSE)</f>
        <v>#N/A</v>
      </c>
      <c r="F119" s="6" t="s">
        <v>513</v>
      </c>
      <c r="G119" s="6"/>
      <c r="H119" s="39" t="e">
        <f>VLOOKUP(H112,'IURAN TANAH'!$A$2:$S$145,9,FALSE)</f>
        <v>#N/A</v>
      </c>
      <c r="J119" s="6" t="s">
        <v>513</v>
      </c>
      <c r="K119" s="6"/>
      <c r="L119" s="39" t="e">
        <f>VLOOKUP(L112,'IURAN TANAH'!$A$2:$S$145,9,FALSE)</f>
        <v>#N/A</v>
      </c>
    </row>
    <row r="120" spans="2:12" x14ac:dyDescent="0.25">
      <c r="B120" s="5" t="s">
        <v>514</v>
      </c>
      <c r="C120" s="5"/>
      <c r="D120" s="40" t="e">
        <f>VLOOKUP(D112,'IURAN TANAH'!$A$2:$S$145,10,FALSE)</f>
        <v>#N/A</v>
      </c>
      <c r="F120" s="5" t="s">
        <v>514</v>
      </c>
      <c r="G120" s="5"/>
      <c r="H120" s="40" t="e">
        <f>VLOOKUP(H112,'IURAN TANAH'!$A$2:$S$145,10,FALSE)</f>
        <v>#N/A</v>
      </c>
      <c r="J120" s="5" t="s">
        <v>514</v>
      </c>
      <c r="K120" s="5"/>
      <c r="L120" s="40" t="e">
        <f>VLOOKUP(L112,'IURAN TANAH'!$A$2:$S$145,10,FALSE)</f>
        <v>#N/A</v>
      </c>
    </row>
    <row r="121" spans="2:12" x14ac:dyDescent="0.25">
      <c r="B121" s="6" t="s">
        <v>515</v>
      </c>
      <c r="C121" s="6"/>
      <c r="D121" s="39" t="e">
        <f>VLOOKUP(D112,'IURAN TANAH'!$A$2:$S$145,11,FALSE)</f>
        <v>#N/A</v>
      </c>
      <c r="F121" s="6" t="s">
        <v>515</v>
      </c>
      <c r="G121" s="6"/>
      <c r="H121" s="39" t="e">
        <f>VLOOKUP(H112,'IURAN TANAH'!$A$2:$S$145,11,FALSE)</f>
        <v>#N/A</v>
      </c>
      <c r="J121" s="6" t="s">
        <v>515</v>
      </c>
      <c r="K121" s="6"/>
      <c r="L121" s="39" t="e">
        <f>VLOOKUP(L112,'IURAN TANAH'!$A$2:$S$145,11,FALSE)</f>
        <v>#N/A</v>
      </c>
    </row>
    <row r="122" spans="2:12" x14ac:dyDescent="0.25">
      <c r="B122" s="5" t="s">
        <v>516</v>
      </c>
      <c r="C122" s="5"/>
      <c r="D122" s="40" t="e">
        <f>VLOOKUP(D112,'IURAN TANAH'!$A$2:$S$145,12,FALSE)</f>
        <v>#N/A</v>
      </c>
      <c r="F122" s="5" t="s">
        <v>516</v>
      </c>
      <c r="G122" s="5"/>
      <c r="H122" s="40" t="e">
        <f>VLOOKUP(H112,'IURAN TANAH'!$A$2:$S$145,12,FALSE)</f>
        <v>#N/A</v>
      </c>
      <c r="J122" s="5" t="s">
        <v>516</v>
      </c>
      <c r="K122" s="5"/>
      <c r="L122" s="40" t="e">
        <f>VLOOKUP(L112,'IURAN TANAH'!$A$2:$S$145,12,FALSE)</f>
        <v>#N/A</v>
      </c>
    </row>
    <row r="123" spans="2:12" x14ac:dyDescent="0.25">
      <c r="B123" s="6" t="s">
        <v>517</v>
      </c>
      <c r="C123" s="6"/>
      <c r="D123" s="39" t="e">
        <f>VLOOKUP(D112,'IURAN TANAH'!$A$2:$S$145,13,FALSE)</f>
        <v>#N/A</v>
      </c>
      <c r="F123" s="6" t="s">
        <v>517</v>
      </c>
      <c r="G123" s="6"/>
      <c r="H123" s="39" t="e">
        <f>VLOOKUP(H112,'IURAN TANAH'!$A$2:$S$145,13,FALSE)</f>
        <v>#N/A</v>
      </c>
      <c r="J123" s="6" t="s">
        <v>517</v>
      </c>
      <c r="K123" s="6"/>
      <c r="L123" s="39" t="e">
        <f>VLOOKUP(L112,'IURAN TANAH'!$A$2:$S$145,13,FALSE)</f>
        <v>#N/A</v>
      </c>
    </row>
    <row r="124" spans="2:12" x14ac:dyDescent="0.25">
      <c r="B124" s="5" t="s">
        <v>518</v>
      </c>
      <c r="C124" s="5"/>
      <c r="D124" s="40" t="e">
        <f>VLOOKUP(D112,'IURAN TANAH'!$A$2:$S$145,14,FALSE)</f>
        <v>#N/A</v>
      </c>
      <c r="F124" s="5" t="s">
        <v>518</v>
      </c>
      <c r="G124" s="5"/>
      <c r="H124" s="40" t="e">
        <f>VLOOKUP(H112,'IURAN TANAH'!$A$2:$S$145,14,FALSE)</f>
        <v>#N/A</v>
      </c>
      <c r="J124" s="5" t="s">
        <v>518</v>
      </c>
      <c r="K124" s="5"/>
      <c r="L124" s="40" t="e">
        <f>VLOOKUP(L112,'IURAN TANAH'!$A$2:$S$145,14,FALSE)</f>
        <v>#N/A</v>
      </c>
    </row>
    <row r="125" spans="2:12" x14ac:dyDescent="0.25">
      <c r="B125" s="6" t="s">
        <v>519</v>
      </c>
      <c r="C125" s="6"/>
      <c r="D125" s="39" t="e">
        <f>VLOOKUP(D112,'IURAN TANAH'!$A$2:$S$145,15,FALSE)</f>
        <v>#N/A</v>
      </c>
      <c r="F125" s="6" t="s">
        <v>519</v>
      </c>
      <c r="G125" s="6"/>
      <c r="H125" s="39" t="e">
        <f>VLOOKUP(H112,'IURAN TANAH'!$A$2:$S$145,15,FALSE)</f>
        <v>#N/A</v>
      </c>
      <c r="J125" s="6" t="s">
        <v>519</v>
      </c>
      <c r="K125" s="6"/>
      <c r="L125" s="39" t="e">
        <f>VLOOKUP(L112,'IURAN TANAH'!$A$2:$S$145,15,FALSE)</f>
        <v>#N/A</v>
      </c>
    </row>
    <row r="126" spans="2:12" x14ac:dyDescent="0.25">
      <c r="B126" s="5" t="s">
        <v>520</v>
      </c>
      <c r="C126" s="5"/>
      <c r="D126" s="40" t="e">
        <f>VLOOKUP(D112,'IURAN TANAH'!$A$2:$S$145,16,FALSE)</f>
        <v>#N/A</v>
      </c>
      <c r="F126" s="5" t="s">
        <v>520</v>
      </c>
      <c r="G126" s="5"/>
      <c r="H126" s="40" t="e">
        <f>VLOOKUP(H112,'IURAN TANAH'!$A$2:$S$145,16,FALSE)</f>
        <v>#N/A</v>
      </c>
      <c r="J126" s="5" t="s">
        <v>520</v>
      </c>
      <c r="K126" s="5"/>
      <c r="L126" s="40" t="e">
        <f>VLOOKUP(L112,'IURAN TANAH'!$A$2:$S$145,16,FALSE)</f>
        <v>#N/A</v>
      </c>
    </row>
    <row r="127" spans="2:12" ht="18.75" customHeight="1" x14ac:dyDescent="0.3">
      <c r="B127" s="7" t="s">
        <v>21</v>
      </c>
      <c r="C127" s="7"/>
      <c r="D127" s="41" t="e">
        <f>SUM(D117:D126)</f>
        <v>#N/A</v>
      </c>
      <c r="F127" s="7" t="s">
        <v>21</v>
      </c>
      <c r="G127" s="7"/>
      <c r="H127" s="41" t="e">
        <f>SUM(H117:H126)</f>
        <v>#N/A</v>
      </c>
      <c r="J127" s="7" t="s">
        <v>21</v>
      </c>
      <c r="K127" s="7"/>
      <c r="L127" s="41" t="e">
        <f>SUM(L117:L126)</f>
        <v>#N/A</v>
      </c>
    </row>
    <row r="128" spans="2:12" x14ac:dyDescent="0.25">
      <c r="B128" s="5"/>
      <c r="C128" s="5"/>
      <c r="D128" s="5"/>
      <c r="F128" s="5"/>
      <c r="G128" s="5"/>
      <c r="H128" s="5"/>
      <c r="J128" s="5"/>
      <c r="K128" s="5"/>
      <c r="L128" s="5"/>
    </row>
    <row r="130" spans="2:12" x14ac:dyDescent="0.25">
      <c r="B130" s="5" t="s">
        <v>2</v>
      </c>
      <c r="C130" s="5" t="s">
        <v>507</v>
      </c>
      <c r="D130" s="5">
        <v>22</v>
      </c>
      <c r="F130" s="5" t="s">
        <v>2</v>
      </c>
      <c r="G130" s="5" t="s">
        <v>507</v>
      </c>
      <c r="H130" s="5">
        <v>23</v>
      </c>
      <c r="J130" s="5" t="s">
        <v>2</v>
      </c>
      <c r="K130" s="5" t="s">
        <v>507</v>
      </c>
      <c r="L130" s="5">
        <v>24</v>
      </c>
    </row>
    <row r="131" spans="2:12" x14ac:dyDescent="0.25">
      <c r="B131" s="6" t="s">
        <v>508</v>
      </c>
      <c r="C131" s="6" t="s">
        <v>507</v>
      </c>
      <c r="D131" s="6" t="e">
        <f>VLOOKUP(D130,'IURAN TANAH'!$A$2:$S$145,2,FALSE)</f>
        <v>#N/A</v>
      </c>
      <c r="F131" s="6" t="s">
        <v>508</v>
      </c>
      <c r="G131" s="6" t="s">
        <v>507</v>
      </c>
      <c r="H131" s="6" t="e">
        <f>VLOOKUP(H130,'IURAN TANAH'!$A$2:$S$145,2,FALSE)</f>
        <v>#N/A</v>
      </c>
      <c r="J131" s="6" t="s">
        <v>508</v>
      </c>
      <c r="K131" s="6" t="s">
        <v>507</v>
      </c>
      <c r="L131" s="6" t="e">
        <f>VLOOKUP(L130,'IURAN TANAH'!$A$2:$S$145,2,FALSE)</f>
        <v>#N/A</v>
      </c>
    </row>
    <row r="132" spans="2:12" x14ac:dyDescent="0.25">
      <c r="B132" s="5" t="s">
        <v>509</v>
      </c>
      <c r="C132" s="5" t="s">
        <v>507</v>
      </c>
      <c r="D132" s="5" t="e">
        <f>VLOOKUP(D130,'IURAN TANAH'!$A$2:$S$145,3,FALSE) &amp;" " &amp;VLOOKUP(D130,'IURAN TANAH'!$A$2:$S$145,4,FALSE)</f>
        <v>#N/A</v>
      </c>
      <c r="F132" s="5" t="s">
        <v>509</v>
      </c>
      <c r="G132" s="5" t="s">
        <v>507</v>
      </c>
      <c r="H132" s="5" t="e">
        <f>VLOOKUP(H130,'IURAN TANAH'!$A$2:$S$145,3,FALSE) &amp;" " &amp;VLOOKUP(H130,'IURAN TANAH'!$A$2:$S$145,4,FALSE)</f>
        <v>#N/A</v>
      </c>
      <c r="J132" s="5" t="s">
        <v>509</v>
      </c>
      <c r="K132" s="5" t="s">
        <v>507</v>
      </c>
      <c r="L132" s="5" t="e">
        <f>VLOOKUP(L130,'IURAN TANAH'!$A$2:$S$145,3,FALSE) &amp;" " &amp;VLOOKUP(L130,'IURAN TANAH'!$A$2:$S$145,4,FALSE)</f>
        <v>#N/A</v>
      </c>
    </row>
    <row r="133" spans="2:12" x14ac:dyDescent="0.25">
      <c r="B133" s="6"/>
      <c r="C133" s="6"/>
      <c r="D133" s="6"/>
      <c r="F133" s="6"/>
      <c r="G133" s="6"/>
      <c r="H133" s="6"/>
      <c r="J133" s="6"/>
      <c r="K133" s="6"/>
      <c r="L133" s="6"/>
    </row>
    <row r="134" spans="2:12" x14ac:dyDescent="0.25">
      <c r="B134" s="5" t="s">
        <v>510</v>
      </c>
      <c r="C134" s="5"/>
      <c r="D134" s="5"/>
      <c r="F134" s="5" t="s">
        <v>510</v>
      </c>
      <c r="G134" s="5"/>
      <c r="H134" s="5"/>
      <c r="J134" s="5" t="s">
        <v>510</v>
      </c>
      <c r="K134" s="5"/>
      <c r="L134" s="5"/>
    </row>
    <row r="135" spans="2:12" x14ac:dyDescent="0.25">
      <c r="B135" s="6" t="s">
        <v>511</v>
      </c>
      <c r="C135" s="6"/>
      <c r="D135" s="39" t="e">
        <f>VLOOKUP(D130,'IURAN TANAH'!$A$2:$S$145,7,FALSE)</f>
        <v>#N/A</v>
      </c>
      <c r="F135" s="6" t="s">
        <v>511</v>
      </c>
      <c r="G135" s="6"/>
      <c r="H135" s="39" t="e">
        <f>VLOOKUP(H130,'IURAN TANAH'!$A$2:$S$145,7,FALSE)</f>
        <v>#N/A</v>
      </c>
      <c r="J135" s="6" t="s">
        <v>511</v>
      </c>
      <c r="K135" s="6"/>
      <c r="L135" s="39" t="e">
        <f>VLOOKUP(L130,'IURAN TANAH'!$A$2:$S$145,7,FALSE)</f>
        <v>#N/A</v>
      </c>
    </row>
    <row r="136" spans="2:12" x14ac:dyDescent="0.25">
      <c r="B136" s="5" t="s">
        <v>512</v>
      </c>
      <c r="C136" s="5"/>
      <c r="D136" s="40" t="e">
        <f>VLOOKUP(D130,'IURAN TANAH'!$A$2:$S$145,8,FALSE)</f>
        <v>#N/A</v>
      </c>
      <c r="F136" s="5" t="s">
        <v>512</v>
      </c>
      <c r="G136" s="5"/>
      <c r="H136" s="40" t="e">
        <f>VLOOKUP(H130,'IURAN TANAH'!$A$2:$S$145,8,FALSE)</f>
        <v>#N/A</v>
      </c>
      <c r="J136" s="5" t="s">
        <v>512</v>
      </c>
      <c r="K136" s="5"/>
      <c r="L136" s="40" t="e">
        <f>VLOOKUP(L130,'IURAN TANAH'!$A$2:$S$145,8,FALSE)</f>
        <v>#N/A</v>
      </c>
    </row>
    <row r="137" spans="2:12" x14ac:dyDescent="0.25">
      <c r="B137" s="6" t="s">
        <v>513</v>
      </c>
      <c r="C137" s="6"/>
      <c r="D137" s="39" t="e">
        <f>VLOOKUP(D130,'IURAN TANAH'!$A$2:$S$145,9,FALSE)</f>
        <v>#N/A</v>
      </c>
      <c r="F137" s="6" t="s">
        <v>513</v>
      </c>
      <c r="G137" s="6"/>
      <c r="H137" s="39" t="e">
        <f>VLOOKUP(H130,'IURAN TANAH'!$A$2:$S$145,9,FALSE)</f>
        <v>#N/A</v>
      </c>
      <c r="J137" s="6" t="s">
        <v>513</v>
      </c>
      <c r="K137" s="6"/>
      <c r="L137" s="39" t="e">
        <f>VLOOKUP(L130,'IURAN TANAH'!$A$2:$S$145,9,FALSE)</f>
        <v>#N/A</v>
      </c>
    </row>
    <row r="138" spans="2:12" x14ac:dyDescent="0.25">
      <c r="B138" s="5" t="s">
        <v>514</v>
      </c>
      <c r="C138" s="5"/>
      <c r="D138" s="40" t="e">
        <f>VLOOKUP(D130,'IURAN TANAH'!$A$2:$S$145,10,FALSE)</f>
        <v>#N/A</v>
      </c>
      <c r="F138" s="5" t="s">
        <v>514</v>
      </c>
      <c r="G138" s="5"/>
      <c r="H138" s="40" t="e">
        <f>VLOOKUP(H130,'IURAN TANAH'!$A$2:$S$145,10,FALSE)</f>
        <v>#N/A</v>
      </c>
      <c r="J138" s="5" t="s">
        <v>514</v>
      </c>
      <c r="K138" s="5"/>
      <c r="L138" s="40" t="e">
        <f>VLOOKUP(L130,'IURAN TANAH'!$A$2:$S$145,10,FALSE)</f>
        <v>#N/A</v>
      </c>
    </row>
    <row r="139" spans="2:12" x14ac:dyDescent="0.25">
      <c r="B139" s="6" t="s">
        <v>515</v>
      </c>
      <c r="C139" s="6"/>
      <c r="D139" s="39" t="e">
        <f>VLOOKUP(D130,'IURAN TANAH'!$A$2:$S$145,11,FALSE)</f>
        <v>#N/A</v>
      </c>
      <c r="F139" s="6" t="s">
        <v>515</v>
      </c>
      <c r="G139" s="6"/>
      <c r="H139" s="39" t="e">
        <f>VLOOKUP(H130,'IURAN TANAH'!$A$2:$S$145,11,FALSE)</f>
        <v>#N/A</v>
      </c>
      <c r="J139" s="6" t="s">
        <v>515</v>
      </c>
      <c r="K139" s="6"/>
      <c r="L139" s="39" t="e">
        <f>VLOOKUP(L130,'IURAN TANAH'!$A$2:$S$145,11,FALSE)</f>
        <v>#N/A</v>
      </c>
    </row>
    <row r="140" spans="2:12" x14ac:dyDescent="0.25">
      <c r="B140" s="5" t="s">
        <v>516</v>
      </c>
      <c r="C140" s="5"/>
      <c r="D140" s="40" t="e">
        <f>VLOOKUP(D130,'IURAN TANAH'!$A$2:$S$145,12,FALSE)</f>
        <v>#N/A</v>
      </c>
      <c r="F140" s="5" t="s">
        <v>516</v>
      </c>
      <c r="G140" s="5"/>
      <c r="H140" s="40" t="e">
        <f>VLOOKUP(H130,'IURAN TANAH'!$A$2:$S$145,12,FALSE)</f>
        <v>#N/A</v>
      </c>
      <c r="J140" s="5" t="s">
        <v>516</v>
      </c>
      <c r="K140" s="5"/>
      <c r="L140" s="40" t="e">
        <f>VLOOKUP(L130,'IURAN TANAH'!$A$2:$S$145,12,FALSE)</f>
        <v>#N/A</v>
      </c>
    </row>
    <row r="141" spans="2:12" x14ac:dyDescent="0.25">
      <c r="B141" s="6" t="s">
        <v>517</v>
      </c>
      <c r="C141" s="6"/>
      <c r="D141" s="39" t="e">
        <f>VLOOKUP(D130,'IURAN TANAH'!$A$2:$S$145,13,FALSE)</f>
        <v>#N/A</v>
      </c>
      <c r="F141" s="6" t="s">
        <v>517</v>
      </c>
      <c r="G141" s="6"/>
      <c r="H141" s="39" t="e">
        <f>VLOOKUP(H130,'IURAN TANAH'!$A$2:$S$145,13,FALSE)</f>
        <v>#N/A</v>
      </c>
      <c r="J141" s="6" t="s">
        <v>517</v>
      </c>
      <c r="K141" s="6"/>
      <c r="L141" s="39" t="e">
        <f>VLOOKUP(L130,'IURAN TANAH'!$A$2:$S$145,13,FALSE)</f>
        <v>#N/A</v>
      </c>
    </row>
    <row r="142" spans="2:12" x14ac:dyDescent="0.25">
      <c r="B142" s="5" t="s">
        <v>518</v>
      </c>
      <c r="C142" s="5"/>
      <c r="D142" s="40" t="e">
        <f>VLOOKUP(D130,'IURAN TANAH'!$A$2:$S$145,14,FALSE)</f>
        <v>#N/A</v>
      </c>
      <c r="F142" s="5" t="s">
        <v>518</v>
      </c>
      <c r="G142" s="5"/>
      <c r="H142" s="40" t="e">
        <f>VLOOKUP(H130,'IURAN TANAH'!$A$2:$S$145,14,FALSE)</f>
        <v>#N/A</v>
      </c>
      <c r="J142" s="5" t="s">
        <v>518</v>
      </c>
      <c r="K142" s="5"/>
      <c r="L142" s="40" t="e">
        <f>VLOOKUP(L130,'IURAN TANAH'!$A$2:$S$145,14,FALSE)</f>
        <v>#N/A</v>
      </c>
    </row>
    <row r="143" spans="2:12" x14ac:dyDescent="0.25">
      <c r="B143" s="6" t="s">
        <v>519</v>
      </c>
      <c r="C143" s="6"/>
      <c r="D143" s="39" t="e">
        <f>VLOOKUP(D130,'IURAN TANAH'!$A$2:$S$145,15,FALSE)</f>
        <v>#N/A</v>
      </c>
      <c r="F143" s="6" t="s">
        <v>519</v>
      </c>
      <c r="G143" s="6"/>
      <c r="H143" s="39" t="e">
        <f>VLOOKUP(H130,'IURAN TANAH'!$A$2:$S$145,15,FALSE)</f>
        <v>#N/A</v>
      </c>
      <c r="J143" s="6" t="s">
        <v>519</v>
      </c>
      <c r="K143" s="6"/>
      <c r="L143" s="39" t="e">
        <f>VLOOKUP(L130,'IURAN TANAH'!$A$2:$S$145,15,FALSE)</f>
        <v>#N/A</v>
      </c>
    </row>
    <row r="144" spans="2:12" x14ac:dyDescent="0.25">
      <c r="B144" s="5" t="s">
        <v>520</v>
      </c>
      <c r="C144" s="5"/>
      <c r="D144" s="40" t="e">
        <f>VLOOKUP(D130,'IURAN TANAH'!$A$2:$S$145,16,FALSE)</f>
        <v>#N/A</v>
      </c>
      <c r="F144" s="5" t="s">
        <v>520</v>
      </c>
      <c r="G144" s="5"/>
      <c r="H144" s="40" t="e">
        <f>VLOOKUP(H130,'IURAN TANAH'!$A$2:$S$145,16,FALSE)</f>
        <v>#N/A</v>
      </c>
      <c r="J144" s="5" t="s">
        <v>520</v>
      </c>
      <c r="K144" s="5"/>
      <c r="L144" s="40" t="e">
        <f>VLOOKUP(L130,'IURAN TANAH'!$A$2:$S$145,16,FALSE)</f>
        <v>#N/A</v>
      </c>
    </row>
    <row r="145" spans="2:12" ht="18.75" customHeight="1" x14ac:dyDescent="0.3">
      <c r="B145" s="7" t="s">
        <v>21</v>
      </c>
      <c r="C145" s="7"/>
      <c r="D145" s="41" t="e">
        <f>SUM(D135:D144)</f>
        <v>#N/A</v>
      </c>
      <c r="F145" s="7" t="s">
        <v>21</v>
      </c>
      <c r="G145" s="7"/>
      <c r="H145" s="41" t="e">
        <f>SUM(H135:H144)</f>
        <v>#N/A</v>
      </c>
      <c r="J145" s="7" t="s">
        <v>21</v>
      </c>
      <c r="K145" s="7"/>
      <c r="L145" s="41" t="e">
        <f>SUM(L135:L144)</f>
        <v>#N/A</v>
      </c>
    </row>
    <row r="146" spans="2:12" x14ac:dyDescent="0.25">
      <c r="B146" s="5"/>
      <c r="C146" s="5"/>
      <c r="D146" s="5"/>
      <c r="F146" s="5"/>
      <c r="G146" s="5"/>
      <c r="H146" s="5"/>
      <c r="J146" s="5"/>
      <c r="K146" s="5"/>
      <c r="L146" s="5"/>
    </row>
    <row r="148" spans="2:12" x14ac:dyDescent="0.25">
      <c r="B148" s="5" t="s">
        <v>2</v>
      </c>
      <c r="C148" s="5" t="s">
        <v>507</v>
      </c>
      <c r="D148" s="5">
        <v>25</v>
      </c>
      <c r="F148" s="5" t="s">
        <v>2</v>
      </c>
      <c r="G148" s="5" t="s">
        <v>507</v>
      </c>
      <c r="H148" s="5">
        <v>26</v>
      </c>
      <c r="J148" s="5" t="s">
        <v>2</v>
      </c>
      <c r="K148" s="5" t="s">
        <v>507</v>
      </c>
      <c r="L148" s="5">
        <v>27</v>
      </c>
    </row>
    <row r="149" spans="2:12" x14ac:dyDescent="0.25">
      <c r="B149" s="6" t="s">
        <v>508</v>
      </c>
      <c r="C149" s="6" t="s">
        <v>507</v>
      </c>
      <c r="D149" s="6" t="e">
        <f>VLOOKUP(D148,'IURAN TANAH'!$A$2:$S$145,2,FALSE)</f>
        <v>#N/A</v>
      </c>
      <c r="F149" s="6" t="s">
        <v>508</v>
      </c>
      <c r="G149" s="6" t="s">
        <v>507</v>
      </c>
      <c r="H149" s="6" t="e">
        <f>VLOOKUP(H148,'IURAN TANAH'!$A$2:$S$145,2,FALSE)</f>
        <v>#N/A</v>
      </c>
      <c r="J149" s="6" t="s">
        <v>508</v>
      </c>
      <c r="K149" s="6" t="s">
        <v>507</v>
      </c>
      <c r="L149" s="6" t="e">
        <f>VLOOKUP(L148,'IURAN TANAH'!$A$2:$S$145,2,FALSE)</f>
        <v>#N/A</v>
      </c>
    </row>
    <row r="150" spans="2:12" x14ac:dyDescent="0.25">
      <c r="B150" s="5" t="s">
        <v>509</v>
      </c>
      <c r="C150" s="5" t="s">
        <v>507</v>
      </c>
      <c r="D150" s="5" t="e">
        <f>VLOOKUP(D148,'IURAN TANAH'!$A$2:$S$145,3,FALSE) &amp;" " &amp;VLOOKUP(D148,'IURAN TANAH'!$A$2:$S$145,4,FALSE)</f>
        <v>#N/A</v>
      </c>
      <c r="F150" s="5" t="s">
        <v>509</v>
      </c>
      <c r="G150" s="5" t="s">
        <v>507</v>
      </c>
      <c r="H150" s="5" t="e">
        <f>VLOOKUP(H148,'IURAN TANAH'!$A$2:$S$145,3,FALSE) &amp;" " &amp;VLOOKUP(H148,'IURAN TANAH'!$A$2:$S$145,4,FALSE)</f>
        <v>#N/A</v>
      </c>
      <c r="J150" s="5" t="s">
        <v>509</v>
      </c>
      <c r="K150" s="5" t="s">
        <v>507</v>
      </c>
      <c r="L150" s="5" t="e">
        <f>VLOOKUP(L148,'IURAN TANAH'!$A$2:$S$145,3,FALSE) &amp;" " &amp;VLOOKUP(L148,'IURAN TANAH'!$A$2:$S$145,4,FALSE)</f>
        <v>#N/A</v>
      </c>
    </row>
    <row r="151" spans="2:12" x14ac:dyDescent="0.25">
      <c r="B151" s="6"/>
      <c r="C151" s="6"/>
      <c r="D151" s="6"/>
      <c r="F151" s="6"/>
      <c r="G151" s="6"/>
      <c r="H151" s="6"/>
      <c r="J151" s="6"/>
      <c r="K151" s="6"/>
      <c r="L151" s="6"/>
    </row>
    <row r="152" spans="2:12" x14ac:dyDescent="0.25">
      <c r="B152" s="5" t="s">
        <v>510</v>
      </c>
      <c r="C152" s="5"/>
      <c r="D152" s="5"/>
      <c r="F152" s="5" t="s">
        <v>510</v>
      </c>
      <c r="G152" s="5"/>
      <c r="H152" s="5"/>
      <c r="J152" s="5" t="s">
        <v>510</v>
      </c>
      <c r="K152" s="5"/>
      <c r="L152" s="5"/>
    </row>
    <row r="153" spans="2:12" x14ac:dyDescent="0.25">
      <c r="B153" s="6" t="s">
        <v>511</v>
      </c>
      <c r="C153" s="6"/>
      <c r="D153" s="39" t="e">
        <f>VLOOKUP(D148,'IURAN TANAH'!$A$2:$S$145,7,FALSE)</f>
        <v>#N/A</v>
      </c>
      <c r="F153" s="6" t="s">
        <v>511</v>
      </c>
      <c r="G153" s="6"/>
      <c r="H153" s="39" t="e">
        <f>VLOOKUP(H148,'IURAN TANAH'!$A$2:$S$145,7,FALSE)</f>
        <v>#N/A</v>
      </c>
      <c r="J153" s="6" t="s">
        <v>511</v>
      </c>
      <c r="K153" s="6"/>
      <c r="L153" s="39" t="e">
        <f>VLOOKUP(L148,'IURAN TANAH'!$A$2:$S$145,7,FALSE)</f>
        <v>#N/A</v>
      </c>
    </row>
    <row r="154" spans="2:12" x14ac:dyDescent="0.25">
      <c r="B154" s="5" t="s">
        <v>512</v>
      </c>
      <c r="C154" s="5"/>
      <c r="D154" s="40" t="e">
        <f>VLOOKUP(D148,'IURAN TANAH'!$A$2:$S$145,8,FALSE)</f>
        <v>#N/A</v>
      </c>
      <c r="F154" s="5" t="s">
        <v>512</v>
      </c>
      <c r="G154" s="5"/>
      <c r="H154" s="40" t="e">
        <f>VLOOKUP(H148,'IURAN TANAH'!$A$2:$S$145,8,FALSE)</f>
        <v>#N/A</v>
      </c>
      <c r="J154" s="5" t="s">
        <v>512</v>
      </c>
      <c r="K154" s="5"/>
      <c r="L154" s="40" t="e">
        <f>VLOOKUP(L148,'IURAN TANAH'!$A$2:$S$145,8,FALSE)</f>
        <v>#N/A</v>
      </c>
    </row>
    <row r="155" spans="2:12" x14ac:dyDescent="0.25">
      <c r="B155" s="6" t="s">
        <v>513</v>
      </c>
      <c r="C155" s="6"/>
      <c r="D155" s="39" t="e">
        <f>VLOOKUP(D148,'IURAN TANAH'!$A$2:$S$145,9,FALSE)</f>
        <v>#N/A</v>
      </c>
      <c r="F155" s="6" t="s">
        <v>513</v>
      </c>
      <c r="G155" s="6"/>
      <c r="H155" s="39" t="e">
        <f>VLOOKUP(H148,'IURAN TANAH'!$A$2:$S$145,9,FALSE)</f>
        <v>#N/A</v>
      </c>
      <c r="J155" s="6" t="s">
        <v>513</v>
      </c>
      <c r="K155" s="6"/>
      <c r="L155" s="39" t="e">
        <f>VLOOKUP(L148,'IURAN TANAH'!$A$2:$S$145,9,FALSE)</f>
        <v>#N/A</v>
      </c>
    </row>
    <row r="156" spans="2:12" x14ac:dyDescent="0.25">
      <c r="B156" s="5" t="s">
        <v>514</v>
      </c>
      <c r="C156" s="5"/>
      <c r="D156" s="40" t="e">
        <f>VLOOKUP(D148,'IURAN TANAH'!$A$2:$S$145,10,FALSE)</f>
        <v>#N/A</v>
      </c>
      <c r="F156" s="5" t="s">
        <v>514</v>
      </c>
      <c r="G156" s="5"/>
      <c r="H156" s="40" t="e">
        <f>VLOOKUP(H148,'IURAN TANAH'!$A$2:$S$145,10,FALSE)</f>
        <v>#N/A</v>
      </c>
      <c r="J156" s="5" t="s">
        <v>514</v>
      </c>
      <c r="K156" s="5"/>
      <c r="L156" s="40" t="e">
        <f>VLOOKUP(L148,'IURAN TANAH'!$A$2:$S$145,10,FALSE)</f>
        <v>#N/A</v>
      </c>
    </row>
    <row r="157" spans="2:12" x14ac:dyDescent="0.25">
      <c r="B157" s="6" t="s">
        <v>515</v>
      </c>
      <c r="C157" s="6"/>
      <c r="D157" s="39" t="e">
        <f>VLOOKUP(D148,'IURAN TANAH'!$A$2:$S$145,11,FALSE)</f>
        <v>#N/A</v>
      </c>
      <c r="F157" s="6" t="s">
        <v>515</v>
      </c>
      <c r="G157" s="6"/>
      <c r="H157" s="39" t="e">
        <f>VLOOKUP(H148,'IURAN TANAH'!$A$2:$S$145,11,FALSE)</f>
        <v>#N/A</v>
      </c>
      <c r="J157" s="6" t="s">
        <v>515</v>
      </c>
      <c r="K157" s="6"/>
      <c r="L157" s="39" t="e">
        <f>VLOOKUP(L148,'IURAN TANAH'!$A$2:$S$145,11,FALSE)</f>
        <v>#N/A</v>
      </c>
    </row>
    <row r="158" spans="2:12" x14ac:dyDescent="0.25">
      <c r="B158" s="5" t="s">
        <v>516</v>
      </c>
      <c r="C158" s="5"/>
      <c r="D158" s="40" t="e">
        <f>VLOOKUP(D148,'IURAN TANAH'!$A$2:$S$145,12,FALSE)</f>
        <v>#N/A</v>
      </c>
      <c r="F158" s="5" t="s">
        <v>516</v>
      </c>
      <c r="G158" s="5"/>
      <c r="H158" s="40" t="e">
        <f>VLOOKUP(H148,'IURAN TANAH'!$A$2:$S$145,12,FALSE)</f>
        <v>#N/A</v>
      </c>
      <c r="J158" s="5" t="s">
        <v>516</v>
      </c>
      <c r="K158" s="5"/>
      <c r="L158" s="40" t="e">
        <f>VLOOKUP(L148,'IURAN TANAH'!$A$2:$S$145,12,FALSE)</f>
        <v>#N/A</v>
      </c>
    </row>
    <row r="159" spans="2:12" x14ac:dyDescent="0.25">
      <c r="B159" s="6" t="s">
        <v>517</v>
      </c>
      <c r="C159" s="6"/>
      <c r="D159" s="39" t="e">
        <f>VLOOKUP(D148,'IURAN TANAH'!$A$2:$S$145,13,FALSE)</f>
        <v>#N/A</v>
      </c>
      <c r="F159" s="6" t="s">
        <v>517</v>
      </c>
      <c r="G159" s="6"/>
      <c r="H159" s="39" t="e">
        <f>VLOOKUP(H148,'IURAN TANAH'!$A$2:$S$145,13,FALSE)</f>
        <v>#N/A</v>
      </c>
      <c r="J159" s="6" t="s">
        <v>517</v>
      </c>
      <c r="K159" s="6"/>
      <c r="L159" s="39" t="e">
        <f>VLOOKUP(L148,'IURAN TANAH'!$A$2:$S$145,13,FALSE)</f>
        <v>#N/A</v>
      </c>
    </row>
    <row r="160" spans="2:12" x14ac:dyDescent="0.25">
      <c r="B160" s="5" t="s">
        <v>518</v>
      </c>
      <c r="C160" s="5"/>
      <c r="D160" s="40" t="e">
        <f>VLOOKUP(D148,'IURAN TANAH'!$A$2:$S$145,14,FALSE)</f>
        <v>#N/A</v>
      </c>
      <c r="F160" s="5" t="s">
        <v>518</v>
      </c>
      <c r="G160" s="5"/>
      <c r="H160" s="40" t="e">
        <f>VLOOKUP(H148,'IURAN TANAH'!$A$2:$S$145,14,FALSE)</f>
        <v>#N/A</v>
      </c>
      <c r="J160" s="5" t="s">
        <v>518</v>
      </c>
      <c r="K160" s="5"/>
      <c r="L160" s="40" t="e">
        <f>VLOOKUP(L148,'IURAN TANAH'!$A$2:$S$145,14,FALSE)</f>
        <v>#N/A</v>
      </c>
    </row>
    <row r="161" spans="2:12" x14ac:dyDescent="0.25">
      <c r="B161" s="6" t="s">
        <v>519</v>
      </c>
      <c r="C161" s="6"/>
      <c r="D161" s="39" t="e">
        <f>VLOOKUP(D148,'IURAN TANAH'!$A$2:$S$145,15,FALSE)</f>
        <v>#N/A</v>
      </c>
      <c r="F161" s="6" t="s">
        <v>519</v>
      </c>
      <c r="G161" s="6"/>
      <c r="H161" s="39" t="e">
        <f>VLOOKUP(H148,'IURAN TANAH'!$A$2:$S$145,15,FALSE)</f>
        <v>#N/A</v>
      </c>
      <c r="J161" s="6" t="s">
        <v>519</v>
      </c>
      <c r="K161" s="6"/>
      <c r="L161" s="39" t="e">
        <f>VLOOKUP(L148,'IURAN TANAH'!$A$2:$S$145,15,FALSE)</f>
        <v>#N/A</v>
      </c>
    </row>
    <row r="162" spans="2:12" x14ac:dyDescent="0.25">
      <c r="B162" s="5" t="s">
        <v>520</v>
      </c>
      <c r="C162" s="5"/>
      <c r="D162" s="40" t="e">
        <f>VLOOKUP(D148,'IURAN TANAH'!$A$2:$S$145,16,FALSE)</f>
        <v>#N/A</v>
      </c>
      <c r="F162" s="5" t="s">
        <v>520</v>
      </c>
      <c r="G162" s="5"/>
      <c r="H162" s="40" t="e">
        <f>VLOOKUP(H148,'IURAN TANAH'!$A$2:$S$145,16,FALSE)</f>
        <v>#N/A</v>
      </c>
      <c r="J162" s="5" t="s">
        <v>520</v>
      </c>
      <c r="K162" s="5"/>
      <c r="L162" s="40" t="e">
        <f>VLOOKUP(L148,'IURAN TANAH'!$A$2:$S$145,16,FALSE)</f>
        <v>#N/A</v>
      </c>
    </row>
    <row r="163" spans="2:12" ht="18.75" customHeight="1" x14ac:dyDescent="0.3">
      <c r="B163" s="7" t="s">
        <v>21</v>
      </c>
      <c r="C163" s="7"/>
      <c r="D163" s="41" t="e">
        <f>SUM(D153:D162)</f>
        <v>#N/A</v>
      </c>
      <c r="F163" s="7" t="s">
        <v>21</v>
      </c>
      <c r="G163" s="7"/>
      <c r="H163" s="41" t="e">
        <f>SUM(H153:H162)</f>
        <v>#N/A</v>
      </c>
      <c r="J163" s="7" t="s">
        <v>21</v>
      </c>
      <c r="K163" s="7"/>
      <c r="L163" s="41" t="e">
        <f>SUM(L153:L162)</f>
        <v>#N/A</v>
      </c>
    </row>
    <row r="164" spans="2:12" x14ac:dyDescent="0.25">
      <c r="B164" s="5"/>
      <c r="C164" s="5"/>
      <c r="D164" s="5"/>
      <c r="F164" s="5"/>
      <c r="G164" s="5"/>
      <c r="H164" s="5"/>
      <c r="J164" s="5"/>
      <c r="K164" s="5"/>
      <c r="L164" s="5"/>
    </row>
    <row r="166" spans="2:12" x14ac:dyDescent="0.25">
      <c r="B166" s="5" t="s">
        <v>2</v>
      </c>
      <c r="C166" s="5" t="s">
        <v>507</v>
      </c>
      <c r="D166" s="5">
        <v>28</v>
      </c>
      <c r="F166" s="5" t="s">
        <v>2</v>
      </c>
      <c r="G166" s="5" t="s">
        <v>507</v>
      </c>
      <c r="H166" s="5">
        <v>29</v>
      </c>
      <c r="J166" s="5" t="s">
        <v>2</v>
      </c>
      <c r="K166" s="5" t="s">
        <v>507</v>
      </c>
      <c r="L166" s="5">
        <v>30</v>
      </c>
    </row>
    <row r="167" spans="2:12" x14ac:dyDescent="0.25">
      <c r="B167" s="6" t="s">
        <v>508</v>
      </c>
      <c r="C167" s="6" t="s">
        <v>507</v>
      </c>
      <c r="D167" s="6" t="e">
        <f>VLOOKUP(D166,'IURAN TANAH'!$A$2:$S$145,2,FALSE)</f>
        <v>#N/A</v>
      </c>
      <c r="F167" s="6" t="s">
        <v>508</v>
      </c>
      <c r="G167" s="6" t="s">
        <v>507</v>
      </c>
      <c r="H167" s="6" t="e">
        <f>VLOOKUP(H166,'IURAN TANAH'!$A$2:$S$145,2,FALSE)</f>
        <v>#N/A</v>
      </c>
      <c r="J167" s="6" t="s">
        <v>508</v>
      </c>
      <c r="K167" s="6" t="s">
        <v>507</v>
      </c>
      <c r="L167" s="6" t="e">
        <f>VLOOKUP(L166,'IURAN TANAH'!$A$2:$S$145,2,FALSE)</f>
        <v>#N/A</v>
      </c>
    </row>
    <row r="168" spans="2:12" x14ac:dyDescent="0.25">
      <c r="B168" s="5" t="s">
        <v>509</v>
      </c>
      <c r="C168" s="5" t="s">
        <v>507</v>
      </c>
      <c r="D168" s="5" t="e">
        <f>VLOOKUP(D166,'IURAN TANAH'!$A$2:$S$145,3,FALSE) &amp;" " &amp;VLOOKUP(D166,'IURAN TANAH'!$A$2:$S$145,4,FALSE)</f>
        <v>#N/A</v>
      </c>
      <c r="F168" s="5" t="s">
        <v>509</v>
      </c>
      <c r="G168" s="5" t="s">
        <v>507</v>
      </c>
      <c r="H168" s="5" t="e">
        <f>VLOOKUP(H166,'IURAN TANAH'!$A$2:$S$145,3,FALSE) &amp;" " &amp;VLOOKUP(H166,'IURAN TANAH'!$A$2:$S$145,4,FALSE)</f>
        <v>#N/A</v>
      </c>
      <c r="J168" s="5" t="s">
        <v>509</v>
      </c>
      <c r="K168" s="5" t="s">
        <v>507</v>
      </c>
      <c r="L168" s="5" t="e">
        <f>VLOOKUP(L166,'IURAN TANAH'!$A$2:$S$145,3,FALSE) &amp;" " &amp;VLOOKUP(L166,'IURAN TANAH'!$A$2:$S$145,4,FALSE)</f>
        <v>#N/A</v>
      </c>
    </row>
    <row r="169" spans="2:12" x14ac:dyDescent="0.25">
      <c r="B169" s="6"/>
      <c r="C169" s="6"/>
      <c r="D169" s="6"/>
      <c r="F169" s="6"/>
      <c r="G169" s="6"/>
      <c r="H169" s="6"/>
      <c r="J169" s="6"/>
      <c r="K169" s="6"/>
      <c r="L169" s="6"/>
    </row>
    <row r="170" spans="2:12" x14ac:dyDescent="0.25">
      <c r="B170" s="5" t="s">
        <v>510</v>
      </c>
      <c r="C170" s="5"/>
      <c r="D170" s="5"/>
      <c r="F170" s="5" t="s">
        <v>510</v>
      </c>
      <c r="G170" s="5"/>
      <c r="H170" s="5"/>
      <c r="J170" s="5" t="s">
        <v>510</v>
      </c>
      <c r="K170" s="5"/>
      <c r="L170" s="5"/>
    </row>
    <row r="171" spans="2:12" x14ac:dyDescent="0.25">
      <c r="B171" s="6" t="s">
        <v>511</v>
      </c>
      <c r="C171" s="6"/>
      <c r="D171" s="39" t="e">
        <f>VLOOKUP(D166,'IURAN TANAH'!$A$2:$S$145,7,FALSE)</f>
        <v>#N/A</v>
      </c>
      <c r="F171" s="6" t="s">
        <v>511</v>
      </c>
      <c r="G171" s="6"/>
      <c r="H171" s="39" t="e">
        <f>VLOOKUP(H166,'IURAN TANAH'!$A$2:$S$145,7,FALSE)</f>
        <v>#N/A</v>
      </c>
      <c r="J171" s="6" t="s">
        <v>511</v>
      </c>
      <c r="K171" s="6"/>
      <c r="L171" s="39" t="e">
        <f>VLOOKUP(L166,'IURAN TANAH'!$A$2:$S$145,7,FALSE)</f>
        <v>#N/A</v>
      </c>
    </row>
    <row r="172" spans="2:12" x14ac:dyDescent="0.25">
      <c r="B172" s="5" t="s">
        <v>512</v>
      </c>
      <c r="C172" s="5"/>
      <c r="D172" s="40" t="e">
        <f>VLOOKUP(D166,'IURAN TANAH'!$A$2:$S$145,8,FALSE)</f>
        <v>#N/A</v>
      </c>
      <c r="F172" s="5" t="s">
        <v>512</v>
      </c>
      <c r="G172" s="5"/>
      <c r="H172" s="40" t="e">
        <f>VLOOKUP(H166,'IURAN TANAH'!$A$2:$S$145,8,FALSE)</f>
        <v>#N/A</v>
      </c>
      <c r="J172" s="5" t="s">
        <v>512</v>
      </c>
      <c r="K172" s="5"/>
      <c r="L172" s="40" t="e">
        <f>VLOOKUP(L166,'IURAN TANAH'!$A$2:$S$145,8,FALSE)</f>
        <v>#N/A</v>
      </c>
    </row>
    <row r="173" spans="2:12" x14ac:dyDescent="0.25">
      <c r="B173" s="6" t="s">
        <v>513</v>
      </c>
      <c r="C173" s="6"/>
      <c r="D173" s="39" t="e">
        <f>VLOOKUP(D166,'IURAN TANAH'!$A$2:$S$145,9,FALSE)</f>
        <v>#N/A</v>
      </c>
      <c r="F173" s="6" t="s">
        <v>513</v>
      </c>
      <c r="G173" s="6"/>
      <c r="H173" s="39" t="e">
        <f>VLOOKUP(H166,'IURAN TANAH'!$A$2:$S$145,9,FALSE)</f>
        <v>#N/A</v>
      </c>
      <c r="J173" s="6" t="s">
        <v>513</v>
      </c>
      <c r="K173" s="6"/>
      <c r="L173" s="39" t="e">
        <f>VLOOKUP(L166,'IURAN TANAH'!$A$2:$S$145,9,FALSE)</f>
        <v>#N/A</v>
      </c>
    </row>
    <row r="174" spans="2:12" x14ac:dyDescent="0.25">
      <c r="B174" s="5" t="s">
        <v>514</v>
      </c>
      <c r="C174" s="5"/>
      <c r="D174" s="40" t="e">
        <f>VLOOKUP(D166,'IURAN TANAH'!$A$2:$S$145,10,FALSE)</f>
        <v>#N/A</v>
      </c>
      <c r="F174" s="5" t="s">
        <v>514</v>
      </c>
      <c r="G174" s="5"/>
      <c r="H174" s="40" t="e">
        <f>VLOOKUP(H166,'IURAN TANAH'!$A$2:$S$145,10,FALSE)</f>
        <v>#N/A</v>
      </c>
      <c r="J174" s="5" t="s">
        <v>514</v>
      </c>
      <c r="K174" s="5"/>
      <c r="L174" s="40" t="e">
        <f>VLOOKUP(L166,'IURAN TANAH'!$A$2:$S$145,10,FALSE)</f>
        <v>#N/A</v>
      </c>
    </row>
    <row r="175" spans="2:12" x14ac:dyDescent="0.25">
      <c r="B175" s="6" t="s">
        <v>515</v>
      </c>
      <c r="C175" s="6"/>
      <c r="D175" s="39" t="e">
        <f>VLOOKUP(D166,'IURAN TANAH'!$A$2:$S$145,11,FALSE)</f>
        <v>#N/A</v>
      </c>
      <c r="F175" s="6" t="s">
        <v>515</v>
      </c>
      <c r="G175" s="6"/>
      <c r="H175" s="39" t="e">
        <f>VLOOKUP(H166,'IURAN TANAH'!$A$2:$S$145,11,FALSE)</f>
        <v>#N/A</v>
      </c>
      <c r="J175" s="6" t="s">
        <v>515</v>
      </c>
      <c r="K175" s="6"/>
      <c r="L175" s="39" t="e">
        <f>VLOOKUP(L166,'IURAN TANAH'!$A$2:$S$145,11,FALSE)</f>
        <v>#N/A</v>
      </c>
    </row>
    <row r="176" spans="2:12" x14ac:dyDescent="0.25">
      <c r="B176" s="5" t="s">
        <v>516</v>
      </c>
      <c r="C176" s="5"/>
      <c r="D176" s="40" t="e">
        <f>VLOOKUP(D166,'IURAN TANAH'!$A$2:$S$145,12,FALSE)</f>
        <v>#N/A</v>
      </c>
      <c r="F176" s="5" t="s">
        <v>516</v>
      </c>
      <c r="G176" s="5"/>
      <c r="H176" s="40" t="e">
        <f>VLOOKUP(H166,'IURAN TANAH'!$A$2:$S$145,12,FALSE)</f>
        <v>#N/A</v>
      </c>
      <c r="J176" s="5" t="s">
        <v>516</v>
      </c>
      <c r="K176" s="5"/>
      <c r="L176" s="40" t="e">
        <f>VLOOKUP(L166,'IURAN TANAH'!$A$2:$S$145,12,FALSE)</f>
        <v>#N/A</v>
      </c>
    </row>
    <row r="177" spans="2:12" x14ac:dyDescent="0.25">
      <c r="B177" s="6" t="s">
        <v>517</v>
      </c>
      <c r="C177" s="6"/>
      <c r="D177" s="39" t="e">
        <f>VLOOKUP(D166,'IURAN TANAH'!$A$2:$S$145,13,FALSE)</f>
        <v>#N/A</v>
      </c>
      <c r="F177" s="6" t="s">
        <v>517</v>
      </c>
      <c r="G177" s="6"/>
      <c r="H177" s="39" t="e">
        <f>VLOOKUP(H166,'IURAN TANAH'!$A$2:$S$145,13,FALSE)</f>
        <v>#N/A</v>
      </c>
      <c r="J177" s="6" t="s">
        <v>517</v>
      </c>
      <c r="K177" s="6"/>
      <c r="L177" s="39" t="e">
        <f>VLOOKUP(L166,'IURAN TANAH'!$A$2:$S$145,13,FALSE)</f>
        <v>#N/A</v>
      </c>
    </row>
    <row r="178" spans="2:12" x14ac:dyDescent="0.25">
      <c r="B178" s="5" t="s">
        <v>518</v>
      </c>
      <c r="C178" s="5"/>
      <c r="D178" s="40" t="e">
        <f>VLOOKUP(D166,'IURAN TANAH'!$A$2:$S$145,14,FALSE)</f>
        <v>#N/A</v>
      </c>
      <c r="F178" s="5" t="s">
        <v>518</v>
      </c>
      <c r="G178" s="5"/>
      <c r="H178" s="40" t="e">
        <f>VLOOKUP(H166,'IURAN TANAH'!$A$2:$S$145,14,FALSE)</f>
        <v>#N/A</v>
      </c>
      <c r="J178" s="5" t="s">
        <v>518</v>
      </c>
      <c r="K178" s="5"/>
      <c r="L178" s="40" t="e">
        <f>VLOOKUP(L166,'IURAN TANAH'!$A$2:$S$145,14,FALSE)</f>
        <v>#N/A</v>
      </c>
    </row>
    <row r="179" spans="2:12" x14ac:dyDescent="0.25">
      <c r="B179" s="6" t="s">
        <v>519</v>
      </c>
      <c r="C179" s="6"/>
      <c r="D179" s="39" t="e">
        <f>VLOOKUP(D166,'IURAN TANAH'!$A$2:$S$145,15,FALSE)</f>
        <v>#N/A</v>
      </c>
      <c r="F179" s="6" t="s">
        <v>519</v>
      </c>
      <c r="G179" s="6"/>
      <c r="H179" s="39" t="e">
        <f>VLOOKUP(H166,'IURAN TANAH'!$A$2:$S$145,15,FALSE)</f>
        <v>#N/A</v>
      </c>
      <c r="J179" s="6" t="s">
        <v>519</v>
      </c>
      <c r="K179" s="6"/>
      <c r="L179" s="39" t="e">
        <f>VLOOKUP(L166,'IURAN TANAH'!$A$2:$S$145,15,FALSE)</f>
        <v>#N/A</v>
      </c>
    </row>
    <row r="180" spans="2:12" x14ac:dyDescent="0.25">
      <c r="B180" s="5" t="s">
        <v>520</v>
      </c>
      <c r="C180" s="5"/>
      <c r="D180" s="40" t="e">
        <f>VLOOKUP(D166,'IURAN TANAH'!$A$2:$S$145,16,FALSE)</f>
        <v>#N/A</v>
      </c>
      <c r="F180" s="5" t="s">
        <v>520</v>
      </c>
      <c r="G180" s="5"/>
      <c r="H180" s="40" t="e">
        <f>VLOOKUP(H166,'IURAN TANAH'!$A$2:$S$145,16,FALSE)</f>
        <v>#N/A</v>
      </c>
      <c r="J180" s="5" t="s">
        <v>520</v>
      </c>
      <c r="K180" s="5"/>
      <c r="L180" s="40" t="e">
        <f>VLOOKUP(L166,'IURAN TANAH'!$A$2:$S$145,16,FALSE)</f>
        <v>#N/A</v>
      </c>
    </row>
    <row r="181" spans="2:12" ht="18.75" customHeight="1" x14ac:dyDescent="0.3">
      <c r="B181" s="7" t="s">
        <v>21</v>
      </c>
      <c r="C181" s="7"/>
      <c r="D181" s="41" t="e">
        <f>SUM(D171:D180)</f>
        <v>#N/A</v>
      </c>
      <c r="F181" s="7" t="s">
        <v>21</v>
      </c>
      <c r="G181" s="7"/>
      <c r="H181" s="41" t="e">
        <f>SUM(H171:H180)</f>
        <v>#N/A</v>
      </c>
      <c r="J181" s="7" t="s">
        <v>21</v>
      </c>
      <c r="K181" s="7"/>
      <c r="L181" s="41" t="e">
        <f>SUM(L171:L180)</f>
        <v>#N/A</v>
      </c>
    </row>
    <row r="182" spans="2:12" x14ac:dyDescent="0.25">
      <c r="B182" s="5"/>
      <c r="C182" s="5"/>
      <c r="D182" s="5"/>
      <c r="F182" s="5"/>
      <c r="G182" s="5"/>
      <c r="H182" s="5"/>
      <c r="J182" s="5"/>
      <c r="K182" s="5"/>
      <c r="L182" s="5"/>
    </row>
    <row r="184" spans="2:12" x14ac:dyDescent="0.25">
      <c r="B184" s="5" t="s">
        <v>2</v>
      </c>
      <c r="C184" s="5" t="s">
        <v>507</v>
      </c>
      <c r="D184" s="5">
        <v>31</v>
      </c>
      <c r="F184" s="5" t="s">
        <v>2</v>
      </c>
      <c r="G184" s="5" t="s">
        <v>507</v>
      </c>
      <c r="H184" s="5">
        <v>32</v>
      </c>
      <c r="J184" s="5" t="s">
        <v>2</v>
      </c>
      <c r="K184" s="5" t="s">
        <v>507</v>
      </c>
      <c r="L184" s="5">
        <v>33</v>
      </c>
    </row>
    <row r="185" spans="2:12" x14ac:dyDescent="0.25">
      <c r="B185" s="6" t="s">
        <v>508</v>
      </c>
      <c r="C185" s="6" t="s">
        <v>507</v>
      </c>
      <c r="D185" s="6" t="e">
        <f>VLOOKUP(D184,'IURAN TANAH'!$A$2:$S$145,2,FALSE)</f>
        <v>#N/A</v>
      </c>
      <c r="F185" s="6" t="s">
        <v>508</v>
      </c>
      <c r="G185" s="6" t="s">
        <v>507</v>
      </c>
      <c r="H185" s="6" t="e">
        <f>VLOOKUP(H184,'IURAN TANAH'!$A$2:$S$145,2,FALSE)</f>
        <v>#N/A</v>
      </c>
      <c r="J185" s="6" t="s">
        <v>508</v>
      </c>
      <c r="K185" s="6" t="s">
        <v>507</v>
      </c>
      <c r="L185" s="6" t="e">
        <f>VLOOKUP(L184,'IURAN TANAH'!$A$2:$S$145,2,FALSE)</f>
        <v>#N/A</v>
      </c>
    </row>
    <row r="186" spans="2:12" x14ac:dyDescent="0.25">
      <c r="B186" s="5" t="s">
        <v>509</v>
      </c>
      <c r="C186" s="5" t="s">
        <v>507</v>
      </c>
      <c r="D186" s="5" t="e">
        <f>VLOOKUP(D184,'IURAN TANAH'!$A$2:$S$145,3,FALSE) &amp;" " &amp;VLOOKUP(D184,'IURAN TANAH'!$A$2:$S$145,4,FALSE)</f>
        <v>#N/A</v>
      </c>
      <c r="F186" s="5" t="s">
        <v>509</v>
      </c>
      <c r="G186" s="5" t="s">
        <v>507</v>
      </c>
      <c r="H186" s="5" t="e">
        <f>VLOOKUP(H184,'IURAN TANAH'!$A$2:$S$145,3,FALSE) &amp;" " &amp;VLOOKUP(H184,'IURAN TANAH'!$A$2:$S$145,4,FALSE)</f>
        <v>#N/A</v>
      </c>
      <c r="J186" s="5" t="s">
        <v>509</v>
      </c>
      <c r="K186" s="5" t="s">
        <v>507</v>
      </c>
      <c r="L186" s="5" t="e">
        <f>VLOOKUP(L184,'IURAN TANAH'!$A$2:$S$145,3,FALSE) &amp;" " &amp;VLOOKUP(L184,'IURAN TANAH'!$A$2:$S$145,4,FALSE)</f>
        <v>#N/A</v>
      </c>
    </row>
    <row r="187" spans="2:12" x14ac:dyDescent="0.25">
      <c r="B187" s="6"/>
      <c r="C187" s="6"/>
      <c r="D187" s="6"/>
      <c r="F187" s="6"/>
      <c r="G187" s="6"/>
      <c r="H187" s="6"/>
      <c r="J187" s="6"/>
      <c r="K187" s="6"/>
      <c r="L187" s="6"/>
    </row>
    <row r="188" spans="2:12" x14ac:dyDescent="0.25">
      <c r="B188" s="5" t="s">
        <v>510</v>
      </c>
      <c r="C188" s="5"/>
      <c r="D188" s="5"/>
      <c r="F188" s="5" t="s">
        <v>510</v>
      </c>
      <c r="G188" s="5"/>
      <c r="H188" s="5"/>
      <c r="J188" s="5" t="s">
        <v>510</v>
      </c>
      <c r="K188" s="5"/>
      <c r="L188" s="5"/>
    </row>
    <row r="189" spans="2:12" x14ac:dyDescent="0.25">
      <c r="B189" s="6" t="s">
        <v>511</v>
      </c>
      <c r="C189" s="6"/>
      <c r="D189" s="39" t="e">
        <f>VLOOKUP(D184,'IURAN TANAH'!$A$2:$S$145,7,FALSE)</f>
        <v>#N/A</v>
      </c>
      <c r="F189" s="6" t="s">
        <v>511</v>
      </c>
      <c r="G189" s="6"/>
      <c r="H189" s="39" t="e">
        <f>VLOOKUP(H184,'IURAN TANAH'!$A$2:$S$145,7,FALSE)</f>
        <v>#N/A</v>
      </c>
      <c r="J189" s="6" t="s">
        <v>511</v>
      </c>
      <c r="K189" s="6"/>
      <c r="L189" s="39" t="e">
        <f>VLOOKUP(L184,'IURAN TANAH'!$A$2:$S$145,7,FALSE)</f>
        <v>#N/A</v>
      </c>
    </row>
    <row r="190" spans="2:12" x14ac:dyDescent="0.25">
      <c r="B190" s="5" t="s">
        <v>512</v>
      </c>
      <c r="C190" s="5"/>
      <c r="D190" s="40" t="e">
        <f>VLOOKUP(D184,'IURAN TANAH'!$A$2:$S$145,8,FALSE)</f>
        <v>#N/A</v>
      </c>
      <c r="F190" s="5" t="s">
        <v>512</v>
      </c>
      <c r="G190" s="5"/>
      <c r="H190" s="40" t="e">
        <f>VLOOKUP(H184,'IURAN TANAH'!$A$2:$S$145,8,FALSE)</f>
        <v>#N/A</v>
      </c>
      <c r="J190" s="5" t="s">
        <v>512</v>
      </c>
      <c r="K190" s="5"/>
      <c r="L190" s="40" t="e">
        <f>VLOOKUP(L184,'IURAN TANAH'!$A$2:$S$145,8,FALSE)</f>
        <v>#N/A</v>
      </c>
    </row>
    <row r="191" spans="2:12" x14ac:dyDescent="0.25">
      <c r="B191" s="6" t="s">
        <v>513</v>
      </c>
      <c r="C191" s="6"/>
      <c r="D191" s="39" t="e">
        <f>VLOOKUP(D184,'IURAN TANAH'!$A$2:$S$145,9,FALSE)</f>
        <v>#N/A</v>
      </c>
      <c r="F191" s="6" t="s">
        <v>513</v>
      </c>
      <c r="G191" s="6"/>
      <c r="H191" s="39" t="e">
        <f>VLOOKUP(H184,'IURAN TANAH'!$A$2:$S$145,9,FALSE)</f>
        <v>#N/A</v>
      </c>
      <c r="J191" s="6" t="s">
        <v>513</v>
      </c>
      <c r="K191" s="6"/>
      <c r="L191" s="39" t="e">
        <f>VLOOKUP(L184,'IURAN TANAH'!$A$2:$S$145,9,FALSE)</f>
        <v>#N/A</v>
      </c>
    </row>
    <row r="192" spans="2:12" x14ac:dyDescent="0.25">
      <c r="B192" s="5" t="s">
        <v>514</v>
      </c>
      <c r="C192" s="5"/>
      <c r="D192" s="40" t="e">
        <f>VLOOKUP(D184,'IURAN TANAH'!$A$2:$S$145,10,FALSE)</f>
        <v>#N/A</v>
      </c>
      <c r="F192" s="5" t="s">
        <v>514</v>
      </c>
      <c r="G192" s="5"/>
      <c r="H192" s="40" t="e">
        <f>VLOOKUP(H184,'IURAN TANAH'!$A$2:$S$145,10,FALSE)</f>
        <v>#N/A</v>
      </c>
      <c r="J192" s="5" t="s">
        <v>514</v>
      </c>
      <c r="K192" s="5"/>
      <c r="L192" s="40" t="e">
        <f>VLOOKUP(L184,'IURAN TANAH'!$A$2:$S$145,10,FALSE)</f>
        <v>#N/A</v>
      </c>
    </row>
    <row r="193" spans="2:12" x14ac:dyDescent="0.25">
      <c r="B193" s="6" t="s">
        <v>515</v>
      </c>
      <c r="C193" s="6"/>
      <c r="D193" s="39" t="e">
        <f>VLOOKUP(D184,'IURAN TANAH'!$A$2:$S$145,11,FALSE)</f>
        <v>#N/A</v>
      </c>
      <c r="F193" s="6" t="s">
        <v>515</v>
      </c>
      <c r="G193" s="6"/>
      <c r="H193" s="39" t="e">
        <f>VLOOKUP(H184,'IURAN TANAH'!$A$2:$S$145,11,FALSE)</f>
        <v>#N/A</v>
      </c>
      <c r="J193" s="6" t="s">
        <v>515</v>
      </c>
      <c r="K193" s="6"/>
      <c r="L193" s="39" t="e">
        <f>VLOOKUP(L184,'IURAN TANAH'!$A$2:$S$145,11,FALSE)</f>
        <v>#N/A</v>
      </c>
    </row>
    <row r="194" spans="2:12" x14ac:dyDescent="0.25">
      <c r="B194" s="5" t="s">
        <v>516</v>
      </c>
      <c r="C194" s="5"/>
      <c r="D194" s="40" t="e">
        <f>VLOOKUP(D184,'IURAN TANAH'!$A$2:$S$145,12,FALSE)</f>
        <v>#N/A</v>
      </c>
      <c r="F194" s="5" t="s">
        <v>516</v>
      </c>
      <c r="G194" s="5"/>
      <c r="H194" s="40" t="e">
        <f>VLOOKUP(H184,'IURAN TANAH'!$A$2:$S$145,12,FALSE)</f>
        <v>#N/A</v>
      </c>
      <c r="J194" s="5" t="s">
        <v>516</v>
      </c>
      <c r="K194" s="5"/>
      <c r="L194" s="40" t="e">
        <f>VLOOKUP(L184,'IURAN TANAH'!$A$2:$S$145,12,FALSE)</f>
        <v>#N/A</v>
      </c>
    </row>
    <row r="195" spans="2:12" x14ac:dyDescent="0.25">
      <c r="B195" s="6" t="s">
        <v>517</v>
      </c>
      <c r="C195" s="6"/>
      <c r="D195" s="39" t="e">
        <f>VLOOKUP(D184,'IURAN TANAH'!$A$2:$S$145,13,FALSE)</f>
        <v>#N/A</v>
      </c>
      <c r="F195" s="6" t="s">
        <v>517</v>
      </c>
      <c r="G195" s="6"/>
      <c r="H195" s="39" t="e">
        <f>VLOOKUP(H184,'IURAN TANAH'!$A$2:$S$145,13,FALSE)</f>
        <v>#N/A</v>
      </c>
      <c r="J195" s="6" t="s">
        <v>517</v>
      </c>
      <c r="K195" s="6"/>
      <c r="L195" s="39" t="e">
        <f>VLOOKUP(L184,'IURAN TANAH'!$A$2:$S$145,13,FALSE)</f>
        <v>#N/A</v>
      </c>
    </row>
    <row r="196" spans="2:12" x14ac:dyDescent="0.25">
      <c r="B196" s="5" t="s">
        <v>518</v>
      </c>
      <c r="C196" s="5"/>
      <c r="D196" s="40" t="e">
        <f>VLOOKUP(D184,'IURAN TANAH'!$A$2:$S$145,14,FALSE)</f>
        <v>#N/A</v>
      </c>
      <c r="F196" s="5" t="s">
        <v>518</v>
      </c>
      <c r="G196" s="5"/>
      <c r="H196" s="40" t="e">
        <f>VLOOKUP(H184,'IURAN TANAH'!$A$2:$S$145,14,FALSE)</f>
        <v>#N/A</v>
      </c>
      <c r="J196" s="5" t="s">
        <v>518</v>
      </c>
      <c r="K196" s="5"/>
      <c r="L196" s="40" t="e">
        <f>VLOOKUP(L184,'IURAN TANAH'!$A$2:$S$145,14,FALSE)</f>
        <v>#N/A</v>
      </c>
    </row>
    <row r="197" spans="2:12" x14ac:dyDescent="0.25">
      <c r="B197" s="6" t="s">
        <v>519</v>
      </c>
      <c r="C197" s="6"/>
      <c r="D197" s="39" t="e">
        <f>VLOOKUP(D184,'IURAN TANAH'!$A$2:$S$145,15,FALSE)</f>
        <v>#N/A</v>
      </c>
      <c r="F197" s="6" t="s">
        <v>519</v>
      </c>
      <c r="G197" s="6"/>
      <c r="H197" s="39" t="e">
        <f>VLOOKUP(H184,'IURAN TANAH'!$A$2:$S$145,15,FALSE)</f>
        <v>#N/A</v>
      </c>
      <c r="J197" s="6" t="s">
        <v>519</v>
      </c>
      <c r="K197" s="6"/>
      <c r="L197" s="39" t="e">
        <f>VLOOKUP(L184,'IURAN TANAH'!$A$2:$S$145,15,FALSE)</f>
        <v>#N/A</v>
      </c>
    </row>
    <row r="198" spans="2:12" x14ac:dyDescent="0.25">
      <c r="B198" s="5" t="s">
        <v>520</v>
      </c>
      <c r="C198" s="5"/>
      <c r="D198" s="40" t="e">
        <f>VLOOKUP(D184,'IURAN TANAH'!$A$2:$S$145,16,FALSE)</f>
        <v>#N/A</v>
      </c>
      <c r="F198" s="5" t="s">
        <v>520</v>
      </c>
      <c r="G198" s="5"/>
      <c r="H198" s="40" t="e">
        <f>VLOOKUP(H184,'IURAN TANAH'!$A$2:$S$145,16,FALSE)</f>
        <v>#N/A</v>
      </c>
      <c r="J198" s="5" t="s">
        <v>520</v>
      </c>
      <c r="K198" s="5"/>
      <c r="L198" s="40" t="e">
        <f>VLOOKUP(L184,'IURAN TANAH'!$A$2:$S$145,16,FALSE)</f>
        <v>#N/A</v>
      </c>
    </row>
    <row r="199" spans="2:12" ht="18.75" customHeight="1" x14ac:dyDescent="0.3">
      <c r="B199" s="7" t="s">
        <v>21</v>
      </c>
      <c r="C199" s="7"/>
      <c r="D199" s="41" t="e">
        <f>SUM(D189:D198)</f>
        <v>#N/A</v>
      </c>
      <c r="F199" s="7" t="s">
        <v>21</v>
      </c>
      <c r="G199" s="7"/>
      <c r="H199" s="41" t="e">
        <f>SUM(H189:H198)</f>
        <v>#N/A</v>
      </c>
      <c r="J199" s="7" t="s">
        <v>21</v>
      </c>
      <c r="K199" s="7"/>
      <c r="L199" s="41" t="e">
        <f>SUM(L189:L198)</f>
        <v>#N/A</v>
      </c>
    </row>
    <row r="200" spans="2:12" x14ac:dyDescent="0.25">
      <c r="B200" s="5"/>
      <c r="C200" s="5"/>
      <c r="D200" s="5"/>
      <c r="F200" s="5"/>
      <c r="G200" s="5"/>
      <c r="H200" s="5"/>
      <c r="J200" s="5"/>
      <c r="K200" s="5"/>
      <c r="L200" s="5"/>
    </row>
    <row r="202" spans="2:12" x14ac:dyDescent="0.25">
      <c r="B202" s="5" t="s">
        <v>2</v>
      </c>
      <c r="C202" s="5" t="s">
        <v>507</v>
      </c>
      <c r="D202" s="5">
        <v>34</v>
      </c>
      <c r="F202" s="5" t="s">
        <v>2</v>
      </c>
      <c r="G202" s="5" t="s">
        <v>507</v>
      </c>
      <c r="H202" s="5">
        <v>35</v>
      </c>
      <c r="J202" s="5" t="s">
        <v>2</v>
      </c>
      <c r="K202" s="5" t="s">
        <v>507</v>
      </c>
      <c r="L202" s="5">
        <v>36</v>
      </c>
    </row>
    <row r="203" spans="2:12" x14ac:dyDescent="0.25">
      <c r="B203" s="6" t="s">
        <v>508</v>
      </c>
      <c r="C203" s="6" t="s">
        <v>507</v>
      </c>
      <c r="D203" s="6" t="e">
        <f>VLOOKUP(D202,'IURAN TANAH'!$A$2:$S$145,2,FALSE)</f>
        <v>#N/A</v>
      </c>
      <c r="F203" s="6" t="s">
        <v>508</v>
      </c>
      <c r="G203" s="6" t="s">
        <v>507</v>
      </c>
      <c r="H203" s="6" t="e">
        <f>VLOOKUP(H202,'IURAN TANAH'!$A$2:$S$145,2,FALSE)</f>
        <v>#N/A</v>
      </c>
      <c r="J203" s="6" t="s">
        <v>508</v>
      </c>
      <c r="K203" s="6" t="s">
        <v>507</v>
      </c>
      <c r="L203" s="6" t="e">
        <f>VLOOKUP(L202,'IURAN TANAH'!$A$2:$S$145,2,FALSE)</f>
        <v>#N/A</v>
      </c>
    </row>
    <row r="204" spans="2:12" x14ac:dyDescent="0.25">
      <c r="B204" s="5" t="s">
        <v>509</v>
      </c>
      <c r="C204" s="5" t="s">
        <v>507</v>
      </c>
      <c r="D204" s="5" t="e">
        <f>VLOOKUP(D202,'IURAN TANAH'!$A$2:$S$145,3,FALSE) &amp;" " &amp;VLOOKUP(D202,'IURAN TANAH'!$A$2:$S$145,4,FALSE)</f>
        <v>#N/A</v>
      </c>
      <c r="F204" s="5" t="s">
        <v>509</v>
      </c>
      <c r="G204" s="5" t="s">
        <v>507</v>
      </c>
      <c r="H204" s="5" t="e">
        <f>VLOOKUP(H202,'IURAN TANAH'!$A$2:$S$145,3,FALSE) &amp;" " &amp;VLOOKUP(H202,'IURAN TANAH'!$A$2:$S$145,4,FALSE)</f>
        <v>#N/A</v>
      </c>
      <c r="J204" s="5" t="s">
        <v>509</v>
      </c>
      <c r="K204" s="5" t="s">
        <v>507</v>
      </c>
      <c r="L204" s="5" t="e">
        <f>VLOOKUP(L202,'IURAN TANAH'!$A$2:$S$145,3,FALSE) &amp;" " &amp;VLOOKUP(L202,'IURAN TANAH'!$A$2:$S$145,4,FALSE)</f>
        <v>#N/A</v>
      </c>
    </row>
    <row r="205" spans="2:12" x14ac:dyDescent="0.25">
      <c r="B205" s="6"/>
      <c r="C205" s="6"/>
      <c r="D205" s="6"/>
      <c r="F205" s="6"/>
      <c r="G205" s="6"/>
      <c r="H205" s="6"/>
      <c r="J205" s="6"/>
      <c r="K205" s="6"/>
      <c r="L205" s="6"/>
    </row>
    <row r="206" spans="2:12" x14ac:dyDescent="0.25">
      <c r="B206" s="5" t="s">
        <v>510</v>
      </c>
      <c r="C206" s="5"/>
      <c r="D206" s="5"/>
      <c r="F206" s="5" t="s">
        <v>510</v>
      </c>
      <c r="G206" s="5"/>
      <c r="H206" s="5"/>
      <c r="J206" s="5" t="s">
        <v>510</v>
      </c>
      <c r="K206" s="5"/>
      <c r="L206" s="5"/>
    </row>
    <row r="207" spans="2:12" x14ac:dyDescent="0.25">
      <c r="B207" s="6" t="s">
        <v>511</v>
      </c>
      <c r="C207" s="6"/>
      <c r="D207" s="39" t="e">
        <f>VLOOKUP(D202,'IURAN TANAH'!$A$2:$S$145,7,FALSE)</f>
        <v>#N/A</v>
      </c>
      <c r="F207" s="6" t="s">
        <v>511</v>
      </c>
      <c r="G207" s="6"/>
      <c r="H207" s="39" t="e">
        <f>VLOOKUP(H202,'IURAN TANAH'!$A$2:$S$145,7,FALSE)</f>
        <v>#N/A</v>
      </c>
      <c r="J207" s="6" t="s">
        <v>511</v>
      </c>
      <c r="K207" s="6"/>
      <c r="L207" s="39" t="e">
        <f>VLOOKUP(L202,'IURAN TANAH'!$A$2:$S$145,7,FALSE)</f>
        <v>#N/A</v>
      </c>
    </row>
    <row r="208" spans="2:12" x14ac:dyDescent="0.25">
      <c r="B208" s="5" t="s">
        <v>512</v>
      </c>
      <c r="C208" s="5"/>
      <c r="D208" s="40" t="e">
        <f>VLOOKUP(D202,'IURAN TANAH'!$A$2:$S$145,8,FALSE)</f>
        <v>#N/A</v>
      </c>
      <c r="F208" s="5" t="s">
        <v>512</v>
      </c>
      <c r="G208" s="5"/>
      <c r="H208" s="40" t="e">
        <f>VLOOKUP(H202,'IURAN TANAH'!$A$2:$S$145,8,FALSE)</f>
        <v>#N/A</v>
      </c>
      <c r="J208" s="5" t="s">
        <v>512</v>
      </c>
      <c r="K208" s="5"/>
      <c r="L208" s="40" t="e">
        <f>VLOOKUP(L202,'IURAN TANAH'!$A$2:$S$145,8,FALSE)</f>
        <v>#N/A</v>
      </c>
    </row>
    <row r="209" spans="2:12" x14ac:dyDescent="0.25">
      <c r="B209" s="6" t="s">
        <v>513</v>
      </c>
      <c r="C209" s="6"/>
      <c r="D209" s="39" t="e">
        <f>VLOOKUP(D202,'IURAN TANAH'!$A$2:$S$145,9,FALSE)</f>
        <v>#N/A</v>
      </c>
      <c r="F209" s="6" t="s">
        <v>513</v>
      </c>
      <c r="G209" s="6"/>
      <c r="H209" s="39" t="e">
        <f>VLOOKUP(H202,'IURAN TANAH'!$A$2:$S$145,9,FALSE)</f>
        <v>#N/A</v>
      </c>
      <c r="J209" s="6" t="s">
        <v>513</v>
      </c>
      <c r="K209" s="6"/>
      <c r="L209" s="39" t="e">
        <f>VLOOKUP(L202,'IURAN TANAH'!$A$2:$S$145,9,FALSE)</f>
        <v>#N/A</v>
      </c>
    </row>
    <row r="210" spans="2:12" x14ac:dyDescent="0.25">
      <c r="B210" s="5" t="s">
        <v>514</v>
      </c>
      <c r="C210" s="5"/>
      <c r="D210" s="40" t="e">
        <f>VLOOKUP(D202,'IURAN TANAH'!$A$2:$S$145,10,FALSE)</f>
        <v>#N/A</v>
      </c>
      <c r="F210" s="5" t="s">
        <v>514</v>
      </c>
      <c r="G210" s="5"/>
      <c r="H210" s="40" t="e">
        <f>VLOOKUP(H202,'IURAN TANAH'!$A$2:$S$145,10,FALSE)</f>
        <v>#N/A</v>
      </c>
      <c r="J210" s="5" t="s">
        <v>514</v>
      </c>
      <c r="K210" s="5"/>
      <c r="L210" s="40" t="e">
        <f>VLOOKUP(L202,'IURAN TANAH'!$A$2:$S$145,10,FALSE)</f>
        <v>#N/A</v>
      </c>
    </row>
    <row r="211" spans="2:12" x14ac:dyDescent="0.25">
      <c r="B211" s="6" t="s">
        <v>515</v>
      </c>
      <c r="C211" s="6"/>
      <c r="D211" s="39" t="e">
        <f>VLOOKUP(D202,'IURAN TANAH'!$A$2:$S$145,11,FALSE)</f>
        <v>#N/A</v>
      </c>
      <c r="F211" s="6" t="s">
        <v>515</v>
      </c>
      <c r="G211" s="6"/>
      <c r="H211" s="39" t="e">
        <f>VLOOKUP(H202,'IURAN TANAH'!$A$2:$S$145,11,FALSE)</f>
        <v>#N/A</v>
      </c>
      <c r="J211" s="6" t="s">
        <v>515</v>
      </c>
      <c r="K211" s="6"/>
      <c r="L211" s="39" t="e">
        <f>VLOOKUP(L202,'IURAN TANAH'!$A$2:$S$145,11,FALSE)</f>
        <v>#N/A</v>
      </c>
    </row>
    <row r="212" spans="2:12" x14ac:dyDescent="0.25">
      <c r="B212" s="5" t="s">
        <v>516</v>
      </c>
      <c r="C212" s="5"/>
      <c r="D212" s="40" t="e">
        <f>VLOOKUP(D202,'IURAN TANAH'!$A$2:$S$145,12,FALSE)</f>
        <v>#N/A</v>
      </c>
      <c r="F212" s="5" t="s">
        <v>516</v>
      </c>
      <c r="G212" s="5"/>
      <c r="H212" s="40" t="e">
        <f>VLOOKUP(H202,'IURAN TANAH'!$A$2:$S$145,12,FALSE)</f>
        <v>#N/A</v>
      </c>
      <c r="J212" s="5" t="s">
        <v>516</v>
      </c>
      <c r="K212" s="5"/>
      <c r="L212" s="40" t="e">
        <f>VLOOKUP(L202,'IURAN TANAH'!$A$2:$S$145,12,FALSE)</f>
        <v>#N/A</v>
      </c>
    </row>
    <row r="213" spans="2:12" x14ac:dyDescent="0.25">
      <c r="B213" s="6" t="s">
        <v>517</v>
      </c>
      <c r="C213" s="6"/>
      <c r="D213" s="39" t="e">
        <f>VLOOKUP(D202,'IURAN TANAH'!$A$2:$S$145,13,FALSE)</f>
        <v>#N/A</v>
      </c>
      <c r="F213" s="6" t="s">
        <v>517</v>
      </c>
      <c r="G213" s="6"/>
      <c r="H213" s="39" t="e">
        <f>VLOOKUP(H202,'IURAN TANAH'!$A$2:$S$145,13,FALSE)</f>
        <v>#N/A</v>
      </c>
      <c r="J213" s="6" t="s">
        <v>517</v>
      </c>
      <c r="K213" s="6"/>
      <c r="L213" s="39" t="e">
        <f>VLOOKUP(L202,'IURAN TANAH'!$A$2:$S$145,13,FALSE)</f>
        <v>#N/A</v>
      </c>
    </row>
    <row r="214" spans="2:12" x14ac:dyDescent="0.25">
      <c r="B214" s="5" t="s">
        <v>518</v>
      </c>
      <c r="C214" s="5"/>
      <c r="D214" s="40" t="e">
        <f>VLOOKUP(D202,'IURAN TANAH'!$A$2:$S$145,14,FALSE)</f>
        <v>#N/A</v>
      </c>
      <c r="F214" s="5" t="s">
        <v>518</v>
      </c>
      <c r="G214" s="5"/>
      <c r="H214" s="40" t="e">
        <f>VLOOKUP(H202,'IURAN TANAH'!$A$2:$S$145,14,FALSE)</f>
        <v>#N/A</v>
      </c>
      <c r="J214" s="5" t="s">
        <v>518</v>
      </c>
      <c r="K214" s="5"/>
      <c r="L214" s="40" t="e">
        <f>VLOOKUP(L202,'IURAN TANAH'!$A$2:$S$145,14,FALSE)</f>
        <v>#N/A</v>
      </c>
    </row>
    <row r="215" spans="2:12" x14ac:dyDescent="0.25">
      <c r="B215" s="6" t="s">
        <v>519</v>
      </c>
      <c r="C215" s="6"/>
      <c r="D215" s="39" t="e">
        <f>VLOOKUP(D202,'IURAN TANAH'!$A$2:$S$145,15,FALSE)</f>
        <v>#N/A</v>
      </c>
      <c r="F215" s="6" t="s">
        <v>519</v>
      </c>
      <c r="G215" s="6"/>
      <c r="H215" s="39" t="e">
        <f>VLOOKUP(H202,'IURAN TANAH'!$A$2:$S$145,15,FALSE)</f>
        <v>#N/A</v>
      </c>
      <c r="J215" s="6" t="s">
        <v>519</v>
      </c>
      <c r="K215" s="6"/>
      <c r="L215" s="39" t="e">
        <f>VLOOKUP(L202,'IURAN TANAH'!$A$2:$S$145,15,FALSE)</f>
        <v>#N/A</v>
      </c>
    </row>
    <row r="216" spans="2:12" x14ac:dyDescent="0.25">
      <c r="B216" s="5" t="s">
        <v>520</v>
      </c>
      <c r="C216" s="5"/>
      <c r="D216" s="40" t="e">
        <f>VLOOKUP(D202,'IURAN TANAH'!$A$2:$S$145,16,FALSE)</f>
        <v>#N/A</v>
      </c>
      <c r="F216" s="5" t="s">
        <v>520</v>
      </c>
      <c r="G216" s="5"/>
      <c r="H216" s="40" t="e">
        <f>VLOOKUP(H202,'IURAN TANAH'!$A$2:$S$145,16,FALSE)</f>
        <v>#N/A</v>
      </c>
      <c r="J216" s="5" t="s">
        <v>520</v>
      </c>
      <c r="K216" s="5"/>
      <c r="L216" s="40" t="e">
        <f>VLOOKUP(L202,'IURAN TANAH'!$A$2:$S$145,16,FALSE)</f>
        <v>#N/A</v>
      </c>
    </row>
    <row r="217" spans="2:12" ht="18.75" customHeight="1" x14ac:dyDescent="0.3">
      <c r="B217" s="7" t="s">
        <v>21</v>
      </c>
      <c r="C217" s="7"/>
      <c r="D217" s="41" t="e">
        <f>SUM(D207:D216)</f>
        <v>#N/A</v>
      </c>
      <c r="F217" s="7" t="s">
        <v>21</v>
      </c>
      <c r="G217" s="7"/>
      <c r="H217" s="41" t="e">
        <f>SUM(H207:H216)</f>
        <v>#N/A</v>
      </c>
      <c r="J217" s="7" t="s">
        <v>21</v>
      </c>
      <c r="K217" s="7"/>
      <c r="L217" s="41" t="e">
        <f>SUM(L207:L216)</f>
        <v>#N/A</v>
      </c>
    </row>
    <row r="218" spans="2:12" x14ac:dyDescent="0.25">
      <c r="B218" s="5"/>
      <c r="C218" s="5"/>
      <c r="D218" s="5"/>
      <c r="F218" s="5"/>
      <c r="G218" s="5"/>
      <c r="H218" s="5"/>
      <c r="J218" s="5"/>
      <c r="K218" s="5"/>
      <c r="L218" s="5"/>
    </row>
    <row r="220" spans="2:12" x14ac:dyDescent="0.25">
      <c r="B220" s="5" t="s">
        <v>2</v>
      </c>
      <c r="C220" s="5" t="s">
        <v>507</v>
      </c>
      <c r="D220" s="5">
        <v>37</v>
      </c>
      <c r="F220" s="5" t="s">
        <v>2</v>
      </c>
      <c r="G220" s="5" t="s">
        <v>507</v>
      </c>
      <c r="H220" s="5">
        <v>38</v>
      </c>
      <c r="J220" s="5" t="s">
        <v>2</v>
      </c>
      <c r="K220" s="5" t="s">
        <v>507</v>
      </c>
      <c r="L220" s="5">
        <v>39</v>
      </c>
    </row>
    <row r="221" spans="2:12" x14ac:dyDescent="0.25">
      <c r="B221" s="6" t="s">
        <v>508</v>
      </c>
      <c r="C221" s="6" t="s">
        <v>507</v>
      </c>
      <c r="D221" s="6" t="e">
        <f>VLOOKUP(D220,'IURAN TANAH'!$A$2:$S$145,2,FALSE)</f>
        <v>#N/A</v>
      </c>
      <c r="F221" s="6" t="s">
        <v>508</v>
      </c>
      <c r="G221" s="6" t="s">
        <v>507</v>
      </c>
      <c r="H221" s="6" t="e">
        <f>VLOOKUP(H220,'IURAN TANAH'!$A$2:$S$145,2,FALSE)</f>
        <v>#N/A</v>
      </c>
      <c r="J221" s="6" t="s">
        <v>508</v>
      </c>
      <c r="K221" s="6" t="s">
        <v>507</v>
      </c>
      <c r="L221" s="6" t="e">
        <f>VLOOKUP(L220,'IURAN TANAH'!$A$2:$S$145,2,FALSE)</f>
        <v>#N/A</v>
      </c>
    </row>
    <row r="222" spans="2:12" x14ac:dyDescent="0.25">
      <c r="B222" s="5" t="s">
        <v>509</v>
      </c>
      <c r="C222" s="5" t="s">
        <v>507</v>
      </c>
      <c r="D222" s="5" t="e">
        <f>VLOOKUP(D220,'IURAN TANAH'!$A$2:$S$145,3,FALSE) &amp;" " &amp;VLOOKUP(D220,'IURAN TANAH'!$A$2:$S$145,4,FALSE)</f>
        <v>#N/A</v>
      </c>
      <c r="F222" s="5" t="s">
        <v>509</v>
      </c>
      <c r="G222" s="5" t="s">
        <v>507</v>
      </c>
      <c r="H222" s="5" t="e">
        <f>VLOOKUP(H220,'IURAN TANAH'!$A$2:$S$145,3,FALSE) &amp;" " &amp;VLOOKUP(H220,'IURAN TANAH'!$A$2:$S$145,4,FALSE)</f>
        <v>#N/A</v>
      </c>
      <c r="J222" s="5" t="s">
        <v>509</v>
      </c>
      <c r="K222" s="5" t="s">
        <v>507</v>
      </c>
      <c r="L222" s="5" t="e">
        <f>VLOOKUP(L220,'IURAN TANAH'!$A$2:$S$145,3,FALSE) &amp;" " &amp;VLOOKUP(L220,'IURAN TANAH'!$A$2:$S$145,4,FALSE)</f>
        <v>#N/A</v>
      </c>
    </row>
    <row r="223" spans="2:12" x14ac:dyDescent="0.25">
      <c r="B223" s="6"/>
      <c r="C223" s="6"/>
      <c r="D223" s="6"/>
      <c r="F223" s="6"/>
      <c r="G223" s="6"/>
      <c r="H223" s="6"/>
      <c r="J223" s="6"/>
      <c r="K223" s="6"/>
      <c r="L223" s="6"/>
    </row>
    <row r="224" spans="2:12" x14ac:dyDescent="0.25">
      <c r="B224" s="5" t="s">
        <v>510</v>
      </c>
      <c r="C224" s="5"/>
      <c r="D224" s="5"/>
      <c r="F224" s="5" t="s">
        <v>510</v>
      </c>
      <c r="G224" s="5"/>
      <c r="H224" s="5"/>
      <c r="J224" s="5" t="s">
        <v>510</v>
      </c>
      <c r="K224" s="5"/>
      <c r="L224" s="5"/>
    </row>
    <row r="225" spans="2:12" x14ac:dyDescent="0.25">
      <c r="B225" s="6" t="s">
        <v>511</v>
      </c>
      <c r="C225" s="6"/>
      <c r="D225" s="39" t="e">
        <f>VLOOKUP(D220,'IURAN TANAH'!$A$2:$S$145,7,FALSE)</f>
        <v>#N/A</v>
      </c>
      <c r="F225" s="6" t="s">
        <v>511</v>
      </c>
      <c r="G225" s="6"/>
      <c r="H225" s="39" t="e">
        <f>VLOOKUP(H220,'IURAN TANAH'!$A$2:$S$145,7,FALSE)</f>
        <v>#N/A</v>
      </c>
      <c r="J225" s="6" t="s">
        <v>511</v>
      </c>
      <c r="K225" s="6"/>
      <c r="L225" s="39" t="e">
        <f>VLOOKUP(L220,'IURAN TANAH'!$A$2:$S$145,7,FALSE)</f>
        <v>#N/A</v>
      </c>
    </row>
    <row r="226" spans="2:12" x14ac:dyDescent="0.25">
      <c r="B226" s="5" t="s">
        <v>512</v>
      </c>
      <c r="C226" s="5"/>
      <c r="D226" s="40" t="e">
        <f>VLOOKUP(D220,'IURAN TANAH'!$A$2:$S$145,8,FALSE)</f>
        <v>#N/A</v>
      </c>
      <c r="F226" s="5" t="s">
        <v>512</v>
      </c>
      <c r="G226" s="5"/>
      <c r="H226" s="40" t="e">
        <f>VLOOKUP(H220,'IURAN TANAH'!$A$2:$S$145,8,FALSE)</f>
        <v>#N/A</v>
      </c>
      <c r="J226" s="5" t="s">
        <v>512</v>
      </c>
      <c r="K226" s="5"/>
      <c r="L226" s="40" t="e">
        <f>VLOOKUP(L220,'IURAN TANAH'!$A$2:$S$145,8,FALSE)</f>
        <v>#N/A</v>
      </c>
    </row>
    <row r="227" spans="2:12" x14ac:dyDescent="0.25">
      <c r="B227" s="6" t="s">
        <v>513</v>
      </c>
      <c r="C227" s="6"/>
      <c r="D227" s="39" t="e">
        <f>VLOOKUP(D220,'IURAN TANAH'!$A$2:$S$145,9,FALSE)</f>
        <v>#N/A</v>
      </c>
      <c r="F227" s="6" t="s">
        <v>513</v>
      </c>
      <c r="G227" s="6"/>
      <c r="H227" s="39" t="e">
        <f>VLOOKUP(H220,'IURAN TANAH'!$A$2:$S$145,9,FALSE)</f>
        <v>#N/A</v>
      </c>
      <c r="J227" s="6" t="s">
        <v>513</v>
      </c>
      <c r="K227" s="6"/>
      <c r="L227" s="39" t="e">
        <f>VLOOKUP(L220,'IURAN TANAH'!$A$2:$S$145,9,FALSE)</f>
        <v>#N/A</v>
      </c>
    </row>
    <row r="228" spans="2:12" x14ac:dyDescent="0.25">
      <c r="B228" s="5" t="s">
        <v>514</v>
      </c>
      <c r="C228" s="5"/>
      <c r="D228" s="40" t="e">
        <f>VLOOKUP(D220,'IURAN TANAH'!$A$2:$S$145,10,FALSE)</f>
        <v>#N/A</v>
      </c>
      <c r="F228" s="5" t="s">
        <v>514</v>
      </c>
      <c r="G228" s="5"/>
      <c r="H228" s="40" t="e">
        <f>VLOOKUP(H220,'IURAN TANAH'!$A$2:$S$145,10,FALSE)</f>
        <v>#N/A</v>
      </c>
      <c r="J228" s="5" t="s">
        <v>514</v>
      </c>
      <c r="K228" s="5"/>
      <c r="L228" s="40" t="e">
        <f>VLOOKUP(L220,'IURAN TANAH'!$A$2:$S$145,10,FALSE)</f>
        <v>#N/A</v>
      </c>
    </row>
    <row r="229" spans="2:12" x14ac:dyDescent="0.25">
      <c r="B229" s="6" t="s">
        <v>515</v>
      </c>
      <c r="C229" s="6"/>
      <c r="D229" s="39" t="e">
        <f>VLOOKUP(D220,'IURAN TANAH'!$A$2:$S$145,11,FALSE)</f>
        <v>#N/A</v>
      </c>
      <c r="F229" s="6" t="s">
        <v>515</v>
      </c>
      <c r="G229" s="6"/>
      <c r="H229" s="39" t="e">
        <f>VLOOKUP(H220,'IURAN TANAH'!$A$2:$S$145,11,FALSE)</f>
        <v>#N/A</v>
      </c>
      <c r="J229" s="6" t="s">
        <v>515</v>
      </c>
      <c r="K229" s="6"/>
      <c r="L229" s="39" t="e">
        <f>VLOOKUP(L220,'IURAN TANAH'!$A$2:$S$145,11,FALSE)</f>
        <v>#N/A</v>
      </c>
    </row>
    <row r="230" spans="2:12" x14ac:dyDescent="0.25">
      <c r="B230" s="5" t="s">
        <v>516</v>
      </c>
      <c r="C230" s="5"/>
      <c r="D230" s="40" t="e">
        <f>VLOOKUP(D220,'IURAN TANAH'!$A$2:$S$145,12,FALSE)</f>
        <v>#N/A</v>
      </c>
      <c r="F230" s="5" t="s">
        <v>516</v>
      </c>
      <c r="G230" s="5"/>
      <c r="H230" s="40" t="e">
        <f>VLOOKUP(H220,'IURAN TANAH'!$A$2:$S$145,12,FALSE)</f>
        <v>#N/A</v>
      </c>
      <c r="J230" s="5" t="s">
        <v>516</v>
      </c>
      <c r="K230" s="5"/>
      <c r="L230" s="40" t="e">
        <f>VLOOKUP(L220,'IURAN TANAH'!$A$2:$S$145,12,FALSE)</f>
        <v>#N/A</v>
      </c>
    </row>
    <row r="231" spans="2:12" x14ac:dyDescent="0.25">
      <c r="B231" s="6" t="s">
        <v>517</v>
      </c>
      <c r="C231" s="6"/>
      <c r="D231" s="39" t="e">
        <f>VLOOKUP(D220,'IURAN TANAH'!$A$2:$S$145,13,FALSE)</f>
        <v>#N/A</v>
      </c>
      <c r="F231" s="6" t="s">
        <v>517</v>
      </c>
      <c r="G231" s="6"/>
      <c r="H231" s="39" t="e">
        <f>VLOOKUP(H220,'IURAN TANAH'!$A$2:$S$145,13,FALSE)</f>
        <v>#N/A</v>
      </c>
      <c r="J231" s="6" t="s">
        <v>517</v>
      </c>
      <c r="K231" s="6"/>
      <c r="L231" s="39" t="e">
        <f>VLOOKUP(L220,'IURAN TANAH'!$A$2:$S$145,13,FALSE)</f>
        <v>#N/A</v>
      </c>
    </row>
    <row r="232" spans="2:12" x14ac:dyDescent="0.25">
      <c r="B232" s="5" t="s">
        <v>518</v>
      </c>
      <c r="C232" s="5"/>
      <c r="D232" s="40" t="e">
        <f>VLOOKUP(D220,'IURAN TANAH'!$A$2:$S$145,14,FALSE)</f>
        <v>#N/A</v>
      </c>
      <c r="F232" s="5" t="s">
        <v>518</v>
      </c>
      <c r="G232" s="5"/>
      <c r="H232" s="40" t="e">
        <f>VLOOKUP(H220,'IURAN TANAH'!$A$2:$S$145,14,FALSE)</f>
        <v>#N/A</v>
      </c>
      <c r="J232" s="5" t="s">
        <v>518</v>
      </c>
      <c r="K232" s="5"/>
      <c r="L232" s="40" t="e">
        <f>VLOOKUP(L220,'IURAN TANAH'!$A$2:$S$145,14,FALSE)</f>
        <v>#N/A</v>
      </c>
    </row>
    <row r="233" spans="2:12" x14ac:dyDescent="0.25">
      <c r="B233" s="6" t="s">
        <v>519</v>
      </c>
      <c r="C233" s="6"/>
      <c r="D233" s="39" t="e">
        <f>VLOOKUP(D220,'IURAN TANAH'!$A$2:$S$145,15,FALSE)</f>
        <v>#N/A</v>
      </c>
      <c r="F233" s="6" t="s">
        <v>519</v>
      </c>
      <c r="G233" s="6"/>
      <c r="H233" s="39" t="e">
        <f>VLOOKUP(H220,'IURAN TANAH'!$A$2:$S$145,15,FALSE)</f>
        <v>#N/A</v>
      </c>
      <c r="J233" s="6" t="s">
        <v>519</v>
      </c>
      <c r="K233" s="6"/>
      <c r="L233" s="39" t="e">
        <f>VLOOKUP(L220,'IURAN TANAH'!$A$2:$S$145,15,FALSE)</f>
        <v>#N/A</v>
      </c>
    </row>
    <row r="234" spans="2:12" x14ac:dyDescent="0.25">
      <c r="B234" s="5" t="s">
        <v>520</v>
      </c>
      <c r="C234" s="5"/>
      <c r="D234" s="40" t="e">
        <f>VLOOKUP(D220,'IURAN TANAH'!$A$2:$S$145,16,FALSE)</f>
        <v>#N/A</v>
      </c>
      <c r="F234" s="5" t="s">
        <v>520</v>
      </c>
      <c r="G234" s="5"/>
      <c r="H234" s="40" t="e">
        <f>VLOOKUP(H220,'IURAN TANAH'!$A$2:$S$145,16,FALSE)</f>
        <v>#N/A</v>
      </c>
      <c r="J234" s="5" t="s">
        <v>520</v>
      </c>
      <c r="K234" s="5"/>
      <c r="L234" s="40" t="e">
        <f>VLOOKUP(L220,'IURAN TANAH'!$A$2:$S$145,16,FALSE)</f>
        <v>#N/A</v>
      </c>
    </row>
    <row r="235" spans="2:12" ht="18.75" customHeight="1" x14ac:dyDescent="0.3">
      <c r="B235" s="7" t="s">
        <v>21</v>
      </c>
      <c r="C235" s="7"/>
      <c r="D235" s="41" t="e">
        <f>SUM(D225:D234)</f>
        <v>#N/A</v>
      </c>
      <c r="F235" s="7" t="s">
        <v>21</v>
      </c>
      <c r="G235" s="7"/>
      <c r="H235" s="41" t="e">
        <f>SUM(H225:H234)</f>
        <v>#N/A</v>
      </c>
      <c r="J235" s="7" t="s">
        <v>21</v>
      </c>
      <c r="K235" s="7"/>
      <c r="L235" s="41" t="e">
        <f>SUM(L225:L234)</f>
        <v>#N/A</v>
      </c>
    </row>
    <row r="236" spans="2:12" x14ac:dyDescent="0.25">
      <c r="B236" s="5"/>
      <c r="C236" s="5"/>
      <c r="D236" s="5"/>
      <c r="F236" s="5"/>
      <c r="G236" s="5"/>
      <c r="H236" s="5"/>
      <c r="J236" s="5"/>
      <c r="K236" s="5"/>
      <c r="L236" s="5"/>
    </row>
    <row r="238" spans="2:12" x14ac:dyDescent="0.25">
      <c r="B238" s="5" t="s">
        <v>2</v>
      </c>
      <c r="C238" s="5" t="s">
        <v>507</v>
      </c>
      <c r="D238" s="5">
        <v>40</v>
      </c>
      <c r="F238" s="5" t="s">
        <v>2</v>
      </c>
      <c r="G238" s="5" t="s">
        <v>507</v>
      </c>
      <c r="H238" s="5">
        <v>41</v>
      </c>
      <c r="J238" s="5" t="s">
        <v>2</v>
      </c>
      <c r="K238" s="5" t="s">
        <v>507</v>
      </c>
      <c r="L238" s="5">
        <v>42</v>
      </c>
    </row>
    <row r="239" spans="2:12" x14ac:dyDescent="0.25">
      <c r="B239" s="6" t="s">
        <v>508</v>
      </c>
      <c r="C239" s="6" t="s">
        <v>507</v>
      </c>
      <c r="D239" s="6" t="e">
        <f>VLOOKUP(D238,'IURAN TANAH'!$A$2:$S$145,2,FALSE)</f>
        <v>#N/A</v>
      </c>
      <c r="F239" s="6" t="s">
        <v>508</v>
      </c>
      <c r="G239" s="6" t="s">
        <v>507</v>
      </c>
      <c r="H239" s="6" t="e">
        <f>VLOOKUP(H238,'IURAN TANAH'!$A$2:$S$145,2,FALSE)</f>
        <v>#N/A</v>
      </c>
      <c r="J239" s="6" t="s">
        <v>508</v>
      </c>
      <c r="K239" s="6" t="s">
        <v>507</v>
      </c>
      <c r="L239" s="6" t="e">
        <f>VLOOKUP(L238,'IURAN TANAH'!$A$2:$S$145,2,FALSE)</f>
        <v>#N/A</v>
      </c>
    </row>
    <row r="240" spans="2:12" x14ac:dyDescent="0.25">
      <c r="B240" s="5" t="s">
        <v>509</v>
      </c>
      <c r="C240" s="5" t="s">
        <v>507</v>
      </c>
      <c r="D240" s="5" t="e">
        <f>VLOOKUP(D238,'IURAN TANAH'!$A$2:$S$145,3,FALSE) &amp;" " &amp;VLOOKUP(D238,'IURAN TANAH'!$A$2:$S$145,4,FALSE)</f>
        <v>#N/A</v>
      </c>
      <c r="F240" s="5" t="s">
        <v>509</v>
      </c>
      <c r="G240" s="5" t="s">
        <v>507</v>
      </c>
      <c r="H240" s="5" t="e">
        <f>VLOOKUP(H238,'IURAN TANAH'!$A$2:$S$145,3,FALSE) &amp;" " &amp;VLOOKUP(H238,'IURAN TANAH'!$A$2:$S$145,4,FALSE)</f>
        <v>#N/A</v>
      </c>
      <c r="J240" s="5" t="s">
        <v>509</v>
      </c>
      <c r="K240" s="5" t="s">
        <v>507</v>
      </c>
      <c r="L240" s="5" t="e">
        <f>VLOOKUP(L238,'IURAN TANAH'!$A$2:$S$145,3,FALSE) &amp;" " &amp;VLOOKUP(L238,'IURAN TANAH'!$A$2:$S$145,4,FALSE)</f>
        <v>#N/A</v>
      </c>
    </row>
    <row r="241" spans="2:12" x14ac:dyDescent="0.25">
      <c r="B241" s="6"/>
      <c r="C241" s="6"/>
      <c r="D241" s="6"/>
      <c r="F241" s="6"/>
      <c r="G241" s="6"/>
      <c r="H241" s="6"/>
      <c r="J241" s="6"/>
      <c r="K241" s="6"/>
      <c r="L241" s="6"/>
    </row>
    <row r="242" spans="2:12" x14ac:dyDescent="0.25">
      <c r="B242" s="5" t="s">
        <v>510</v>
      </c>
      <c r="C242" s="5"/>
      <c r="D242" s="5"/>
      <c r="F242" s="5" t="s">
        <v>510</v>
      </c>
      <c r="G242" s="5"/>
      <c r="H242" s="5"/>
      <c r="J242" s="5" t="s">
        <v>510</v>
      </c>
      <c r="K242" s="5"/>
      <c r="L242" s="5"/>
    </row>
    <row r="243" spans="2:12" x14ac:dyDescent="0.25">
      <c r="B243" s="6" t="s">
        <v>511</v>
      </c>
      <c r="C243" s="6"/>
      <c r="D243" s="39" t="e">
        <f>VLOOKUP(D238,'IURAN TANAH'!$A$2:$S$145,7,FALSE)</f>
        <v>#N/A</v>
      </c>
      <c r="F243" s="6" t="s">
        <v>511</v>
      </c>
      <c r="G243" s="6"/>
      <c r="H243" s="39" t="e">
        <f>VLOOKUP(H238,'IURAN TANAH'!$A$2:$S$145,7,FALSE)</f>
        <v>#N/A</v>
      </c>
      <c r="J243" s="6" t="s">
        <v>511</v>
      </c>
      <c r="K243" s="6"/>
      <c r="L243" s="39" t="e">
        <f>VLOOKUP(L238,'IURAN TANAH'!$A$2:$S$145,7,FALSE)</f>
        <v>#N/A</v>
      </c>
    </row>
    <row r="244" spans="2:12" x14ac:dyDescent="0.25">
      <c r="B244" s="5" t="s">
        <v>512</v>
      </c>
      <c r="C244" s="5"/>
      <c r="D244" s="40" t="e">
        <f>VLOOKUP(D238,'IURAN TANAH'!$A$2:$S$145,8,FALSE)</f>
        <v>#N/A</v>
      </c>
      <c r="F244" s="5" t="s">
        <v>512</v>
      </c>
      <c r="G244" s="5"/>
      <c r="H244" s="40" t="e">
        <f>VLOOKUP(H238,'IURAN TANAH'!$A$2:$S$145,8,FALSE)</f>
        <v>#N/A</v>
      </c>
      <c r="J244" s="5" t="s">
        <v>512</v>
      </c>
      <c r="K244" s="5"/>
      <c r="L244" s="40" t="e">
        <f>VLOOKUP(L238,'IURAN TANAH'!$A$2:$S$145,8,FALSE)</f>
        <v>#N/A</v>
      </c>
    </row>
    <row r="245" spans="2:12" x14ac:dyDescent="0.25">
      <c r="B245" s="6" t="s">
        <v>513</v>
      </c>
      <c r="C245" s="6"/>
      <c r="D245" s="39" t="e">
        <f>VLOOKUP(D238,'IURAN TANAH'!$A$2:$S$145,9,FALSE)</f>
        <v>#N/A</v>
      </c>
      <c r="F245" s="6" t="s">
        <v>513</v>
      </c>
      <c r="G245" s="6"/>
      <c r="H245" s="39" t="e">
        <f>VLOOKUP(H238,'IURAN TANAH'!$A$2:$S$145,9,FALSE)</f>
        <v>#N/A</v>
      </c>
      <c r="J245" s="6" t="s">
        <v>513</v>
      </c>
      <c r="K245" s="6"/>
      <c r="L245" s="39" t="e">
        <f>VLOOKUP(L238,'IURAN TANAH'!$A$2:$S$145,9,FALSE)</f>
        <v>#N/A</v>
      </c>
    </row>
    <row r="246" spans="2:12" x14ac:dyDescent="0.25">
      <c r="B246" s="5" t="s">
        <v>514</v>
      </c>
      <c r="C246" s="5"/>
      <c r="D246" s="40" t="e">
        <f>VLOOKUP(D238,'IURAN TANAH'!$A$2:$S$145,10,FALSE)</f>
        <v>#N/A</v>
      </c>
      <c r="F246" s="5" t="s">
        <v>514</v>
      </c>
      <c r="G246" s="5"/>
      <c r="H246" s="40" t="e">
        <f>VLOOKUP(H238,'IURAN TANAH'!$A$2:$S$145,10,FALSE)</f>
        <v>#N/A</v>
      </c>
      <c r="J246" s="5" t="s">
        <v>514</v>
      </c>
      <c r="K246" s="5"/>
      <c r="L246" s="40" t="e">
        <f>VLOOKUP(L238,'IURAN TANAH'!$A$2:$S$145,10,FALSE)</f>
        <v>#N/A</v>
      </c>
    </row>
    <row r="247" spans="2:12" x14ac:dyDescent="0.25">
      <c r="B247" s="6" t="s">
        <v>515</v>
      </c>
      <c r="C247" s="6"/>
      <c r="D247" s="39" t="e">
        <f>VLOOKUP(D238,'IURAN TANAH'!$A$2:$S$145,11,FALSE)</f>
        <v>#N/A</v>
      </c>
      <c r="F247" s="6" t="s">
        <v>515</v>
      </c>
      <c r="G247" s="6"/>
      <c r="H247" s="39" t="e">
        <f>VLOOKUP(H238,'IURAN TANAH'!$A$2:$S$145,11,FALSE)</f>
        <v>#N/A</v>
      </c>
      <c r="J247" s="6" t="s">
        <v>515</v>
      </c>
      <c r="K247" s="6"/>
      <c r="L247" s="39" t="e">
        <f>VLOOKUP(L238,'IURAN TANAH'!$A$2:$S$145,11,FALSE)</f>
        <v>#N/A</v>
      </c>
    </row>
    <row r="248" spans="2:12" x14ac:dyDescent="0.25">
      <c r="B248" s="5" t="s">
        <v>516</v>
      </c>
      <c r="C248" s="5"/>
      <c r="D248" s="40" t="e">
        <f>VLOOKUP(D238,'IURAN TANAH'!$A$2:$S$145,12,FALSE)</f>
        <v>#N/A</v>
      </c>
      <c r="F248" s="5" t="s">
        <v>516</v>
      </c>
      <c r="G248" s="5"/>
      <c r="H248" s="40" t="e">
        <f>VLOOKUP(H238,'IURAN TANAH'!$A$2:$S$145,12,FALSE)</f>
        <v>#N/A</v>
      </c>
      <c r="J248" s="5" t="s">
        <v>516</v>
      </c>
      <c r="K248" s="5"/>
      <c r="L248" s="40" t="e">
        <f>VLOOKUP(L238,'IURAN TANAH'!$A$2:$S$145,12,FALSE)</f>
        <v>#N/A</v>
      </c>
    </row>
    <row r="249" spans="2:12" x14ac:dyDescent="0.25">
      <c r="B249" s="6" t="s">
        <v>517</v>
      </c>
      <c r="C249" s="6"/>
      <c r="D249" s="39" t="e">
        <f>VLOOKUP(D238,'IURAN TANAH'!$A$2:$S$145,13,FALSE)</f>
        <v>#N/A</v>
      </c>
      <c r="F249" s="6" t="s">
        <v>517</v>
      </c>
      <c r="G249" s="6"/>
      <c r="H249" s="39" t="e">
        <f>VLOOKUP(H238,'IURAN TANAH'!$A$2:$S$145,13,FALSE)</f>
        <v>#N/A</v>
      </c>
      <c r="J249" s="6" t="s">
        <v>517</v>
      </c>
      <c r="K249" s="6"/>
      <c r="L249" s="39" t="e">
        <f>VLOOKUP(L238,'IURAN TANAH'!$A$2:$S$145,13,FALSE)</f>
        <v>#N/A</v>
      </c>
    </row>
    <row r="250" spans="2:12" x14ac:dyDescent="0.25">
      <c r="B250" s="5" t="s">
        <v>518</v>
      </c>
      <c r="C250" s="5"/>
      <c r="D250" s="40" t="e">
        <f>VLOOKUP(D238,'IURAN TANAH'!$A$2:$S$145,14,FALSE)</f>
        <v>#N/A</v>
      </c>
      <c r="F250" s="5" t="s">
        <v>518</v>
      </c>
      <c r="G250" s="5"/>
      <c r="H250" s="40" t="e">
        <f>VLOOKUP(H238,'IURAN TANAH'!$A$2:$S$145,14,FALSE)</f>
        <v>#N/A</v>
      </c>
      <c r="J250" s="5" t="s">
        <v>518</v>
      </c>
      <c r="K250" s="5"/>
      <c r="L250" s="40" t="e">
        <f>VLOOKUP(L238,'IURAN TANAH'!$A$2:$S$145,14,FALSE)</f>
        <v>#N/A</v>
      </c>
    </row>
    <row r="251" spans="2:12" x14ac:dyDescent="0.25">
      <c r="B251" s="6" t="s">
        <v>519</v>
      </c>
      <c r="C251" s="6"/>
      <c r="D251" s="39" t="e">
        <f>VLOOKUP(D238,'IURAN TANAH'!$A$2:$S$145,15,FALSE)</f>
        <v>#N/A</v>
      </c>
      <c r="F251" s="6" t="s">
        <v>519</v>
      </c>
      <c r="G251" s="6"/>
      <c r="H251" s="39" t="e">
        <f>VLOOKUP(H238,'IURAN TANAH'!$A$2:$S$145,15,FALSE)</f>
        <v>#N/A</v>
      </c>
      <c r="J251" s="6" t="s">
        <v>519</v>
      </c>
      <c r="K251" s="6"/>
      <c r="L251" s="39" t="e">
        <f>VLOOKUP(L238,'IURAN TANAH'!$A$2:$S$145,15,FALSE)</f>
        <v>#N/A</v>
      </c>
    </row>
    <row r="252" spans="2:12" x14ac:dyDescent="0.25">
      <c r="B252" s="5" t="s">
        <v>520</v>
      </c>
      <c r="C252" s="5"/>
      <c r="D252" s="40" t="e">
        <f>VLOOKUP(D238,'IURAN TANAH'!$A$2:$S$145,16,FALSE)</f>
        <v>#N/A</v>
      </c>
      <c r="F252" s="5" t="s">
        <v>520</v>
      </c>
      <c r="G252" s="5"/>
      <c r="H252" s="40" t="e">
        <f>VLOOKUP(H238,'IURAN TANAH'!$A$2:$S$145,16,FALSE)</f>
        <v>#N/A</v>
      </c>
      <c r="J252" s="5" t="s">
        <v>520</v>
      </c>
      <c r="K252" s="5"/>
      <c r="L252" s="40" t="e">
        <f>VLOOKUP(L238,'IURAN TANAH'!$A$2:$S$145,16,FALSE)</f>
        <v>#N/A</v>
      </c>
    </row>
    <row r="253" spans="2:12" ht="18.75" customHeight="1" x14ac:dyDescent="0.3">
      <c r="B253" s="7" t="s">
        <v>21</v>
      </c>
      <c r="C253" s="7"/>
      <c r="D253" s="41" t="e">
        <f>SUM(D243:D252)</f>
        <v>#N/A</v>
      </c>
      <c r="F253" s="7" t="s">
        <v>21</v>
      </c>
      <c r="G253" s="7"/>
      <c r="H253" s="41" t="e">
        <f>SUM(H243:H252)</f>
        <v>#N/A</v>
      </c>
      <c r="J253" s="7" t="s">
        <v>21</v>
      </c>
      <c r="K253" s="7"/>
      <c r="L253" s="41" t="e">
        <f>SUM(L243:L252)</f>
        <v>#N/A</v>
      </c>
    </row>
    <row r="254" spans="2:12" x14ac:dyDescent="0.25">
      <c r="B254" s="5"/>
      <c r="C254" s="5"/>
      <c r="D254" s="5"/>
      <c r="F254" s="5"/>
      <c r="G254" s="5"/>
      <c r="H254" s="5"/>
      <c r="J254" s="5"/>
      <c r="K254" s="5"/>
      <c r="L254" s="5"/>
    </row>
    <row r="256" spans="2:12" x14ac:dyDescent="0.25">
      <c r="B256" s="5" t="s">
        <v>2</v>
      </c>
      <c r="C256" s="5" t="s">
        <v>507</v>
      </c>
      <c r="D256" s="5">
        <v>43</v>
      </c>
      <c r="F256" s="5" t="s">
        <v>2</v>
      </c>
      <c r="G256" s="5" t="s">
        <v>507</v>
      </c>
      <c r="H256" s="5">
        <v>44</v>
      </c>
      <c r="J256" s="5" t="s">
        <v>2</v>
      </c>
      <c r="K256" s="5" t="s">
        <v>507</v>
      </c>
      <c r="L256" s="5">
        <v>45</v>
      </c>
    </row>
    <row r="257" spans="2:12" x14ac:dyDescent="0.25">
      <c r="B257" s="6" t="s">
        <v>508</v>
      </c>
      <c r="C257" s="6" t="s">
        <v>507</v>
      </c>
      <c r="D257" s="6" t="e">
        <f>VLOOKUP(D256,'IURAN TANAH'!$A$2:$S$145,2,FALSE)</f>
        <v>#N/A</v>
      </c>
      <c r="F257" s="6" t="s">
        <v>508</v>
      </c>
      <c r="G257" s="6" t="s">
        <v>507</v>
      </c>
      <c r="H257" s="6" t="e">
        <f>VLOOKUP(H256,'IURAN TANAH'!$A$2:$S$145,2,FALSE)</f>
        <v>#N/A</v>
      </c>
      <c r="J257" s="6" t="s">
        <v>508</v>
      </c>
      <c r="K257" s="6" t="s">
        <v>507</v>
      </c>
      <c r="L257" s="6" t="e">
        <f>VLOOKUP(L256,'IURAN TANAH'!$A$2:$S$145,2,FALSE)</f>
        <v>#N/A</v>
      </c>
    </row>
    <row r="258" spans="2:12" x14ac:dyDescent="0.25">
      <c r="B258" s="5" t="s">
        <v>509</v>
      </c>
      <c r="C258" s="5" t="s">
        <v>507</v>
      </c>
      <c r="D258" s="5" t="e">
        <f>VLOOKUP(D256,'IURAN TANAH'!$A$2:$S$145,3,FALSE) &amp;" " &amp;VLOOKUP(D256,'IURAN TANAH'!$A$2:$S$145,4,FALSE)</f>
        <v>#N/A</v>
      </c>
      <c r="F258" s="5" t="s">
        <v>509</v>
      </c>
      <c r="G258" s="5" t="s">
        <v>507</v>
      </c>
      <c r="H258" s="5" t="e">
        <f>VLOOKUP(H256,'IURAN TANAH'!$A$2:$S$145,3,FALSE) &amp;" " &amp;VLOOKUP(H256,'IURAN TANAH'!$A$2:$S$145,4,FALSE)</f>
        <v>#N/A</v>
      </c>
      <c r="J258" s="5" t="s">
        <v>509</v>
      </c>
      <c r="K258" s="5" t="s">
        <v>507</v>
      </c>
      <c r="L258" s="5" t="e">
        <f>VLOOKUP(L256,'IURAN TANAH'!$A$2:$S$145,3,FALSE) &amp;" " &amp;VLOOKUP(L256,'IURAN TANAH'!$A$2:$S$145,4,FALSE)</f>
        <v>#N/A</v>
      </c>
    </row>
    <row r="259" spans="2:12" x14ac:dyDescent="0.25">
      <c r="B259" s="6"/>
      <c r="C259" s="6"/>
      <c r="D259" s="6"/>
      <c r="F259" s="6"/>
      <c r="G259" s="6"/>
      <c r="H259" s="6"/>
      <c r="J259" s="6"/>
      <c r="K259" s="6"/>
      <c r="L259" s="6"/>
    </row>
    <row r="260" spans="2:12" x14ac:dyDescent="0.25">
      <c r="B260" s="5" t="s">
        <v>510</v>
      </c>
      <c r="C260" s="5"/>
      <c r="D260" s="5"/>
      <c r="F260" s="5" t="s">
        <v>510</v>
      </c>
      <c r="G260" s="5"/>
      <c r="H260" s="5"/>
      <c r="J260" s="5" t="s">
        <v>510</v>
      </c>
      <c r="K260" s="5"/>
      <c r="L260" s="5"/>
    </row>
    <row r="261" spans="2:12" x14ac:dyDescent="0.25">
      <c r="B261" s="6" t="s">
        <v>511</v>
      </c>
      <c r="C261" s="6"/>
      <c r="D261" s="39" t="e">
        <f>VLOOKUP(D256,'IURAN TANAH'!$A$2:$S$145,7,FALSE)</f>
        <v>#N/A</v>
      </c>
      <c r="F261" s="6" t="s">
        <v>511</v>
      </c>
      <c r="G261" s="6"/>
      <c r="H261" s="39" t="e">
        <f>VLOOKUP(H256,'IURAN TANAH'!$A$2:$S$145,7,FALSE)</f>
        <v>#N/A</v>
      </c>
      <c r="J261" s="6" t="s">
        <v>511</v>
      </c>
      <c r="K261" s="6"/>
      <c r="L261" s="39" t="e">
        <f>VLOOKUP(L256,'IURAN TANAH'!$A$2:$S$145,7,FALSE)</f>
        <v>#N/A</v>
      </c>
    </row>
    <row r="262" spans="2:12" x14ac:dyDescent="0.25">
      <c r="B262" s="5" t="s">
        <v>512</v>
      </c>
      <c r="C262" s="5"/>
      <c r="D262" s="40" t="e">
        <f>VLOOKUP(D256,'IURAN TANAH'!$A$2:$S$145,8,FALSE)</f>
        <v>#N/A</v>
      </c>
      <c r="F262" s="5" t="s">
        <v>512</v>
      </c>
      <c r="G262" s="5"/>
      <c r="H262" s="40" t="e">
        <f>VLOOKUP(H256,'IURAN TANAH'!$A$2:$S$145,8,FALSE)</f>
        <v>#N/A</v>
      </c>
      <c r="J262" s="5" t="s">
        <v>512</v>
      </c>
      <c r="K262" s="5"/>
      <c r="L262" s="40" t="e">
        <f>VLOOKUP(L256,'IURAN TANAH'!$A$2:$S$145,8,FALSE)</f>
        <v>#N/A</v>
      </c>
    </row>
    <row r="263" spans="2:12" x14ac:dyDescent="0.25">
      <c r="B263" s="6" t="s">
        <v>513</v>
      </c>
      <c r="C263" s="6"/>
      <c r="D263" s="39" t="e">
        <f>VLOOKUP(D256,'IURAN TANAH'!$A$2:$S$145,9,FALSE)</f>
        <v>#N/A</v>
      </c>
      <c r="F263" s="6" t="s">
        <v>513</v>
      </c>
      <c r="G263" s="6"/>
      <c r="H263" s="39" t="e">
        <f>VLOOKUP(H256,'IURAN TANAH'!$A$2:$S$145,9,FALSE)</f>
        <v>#N/A</v>
      </c>
      <c r="J263" s="6" t="s">
        <v>513</v>
      </c>
      <c r="K263" s="6"/>
      <c r="L263" s="39" t="e">
        <f>VLOOKUP(L256,'IURAN TANAH'!$A$2:$S$145,9,FALSE)</f>
        <v>#N/A</v>
      </c>
    </row>
    <row r="264" spans="2:12" x14ac:dyDescent="0.25">
      <c r="B264" s="5" t="s">
        <v>514</v>
      </c>
      <c r="C264" s="5"/>
      <c r="D264" s="40" t="e">
        <f>VLOOKUP(D256,'IURAN TANAH'!$A$2:$S$145,10,FALSE)</f>
        <v>#N/A</v>
      </c>
      <c r="F264" s="5" t="s">
        <v>514</v>
      </c>
      <c r="G264" s="5"/>
      <c r="H264" s="40" t="e">
        <f>VLOOKUP(H256,'IURAN TANAH'!$A$2:$S$145,10,FALSE)</f>
        <v>#N/A</v>
      </c>
      <c r="J264" s="5" t="s">
        <v>514</v>
      </c>
      <c r="K264" s="5"/>
      <c r="L264" s="40" t="e">
        <f>VLOOKUP(L256,'IURAN TANAH'!$A$2:$S$145,10,FALSE)</f>
        <v>#N/A</v>
      </c>
    </row>
    <row r="265" spans="2:12" x14ac:dyDescent="0.25">
      <c r="B265" s="6" t="s">
        <v>515</v>
      </c>
      <c r="C265" s="6"/>
      <c r="D265" s="39" t="e">
        <f>VLOOKUP(D256,'IURAN TANAH'!$A$2:$S$145,11,FALSE)</f>
        <v>#N/A</v>
      </c>
      <c r="F265" s="6" t="s">
        <v>515</v>
      </c>
      <c r="G265" s="6"/>
      <c r="H265" s="39" t="e">
        <f>VLOOKUP(H256,'IURAN TANAH'!$A$2:$S$145,11,FALSE)</f>
        <v>#N/A</v>
      </c>
      <c r="J265" s="6" t="s">
        <v>515</v>
      </c>
      <c r="K265" s="6"/>
      <c r="L265" s="39" t="e">
        <f>VLOOKUP(L256,'IURAN TANAH'!$A$2:$S$145,11,FALSE)</f>
        <v>#N/A</v>
      </c>
    </row>
    <row r="266" spans="2:12" x14ac:dyDescent="0.25">
      <c r="B266" s="5" t="s">
        <v>516</v>
      </c>
      <c r="C266" s="5"/>
      <c r="D266" s="40" t="e">
        <f>VLOOKUP(D256,'IURAN TANAH'!$A$2:$S$145,12,FALSE)</f>
        <v>#N/A</v>
      </c>
      <c r="F266" s="5" t="s">
        <v>516</v>
      </c>
      <c r="G266" s="5"/>
      <c r="H266" s="40" t="e">
        <f>VLOOKUP(H256,'IURAN TANAH'!$A$2:$S$145,12,FALSE)</f>
        <v>#N/A</v>
      </c>
      <c r="J266" s="5" t="s">
        <v>516</v>
      </c>
      <c r="K266" s="5"/>
      <c r="L266" s="40" t="e">
        <f>VLOOKUP(L256,'IURAN TANAH'!$A$2:$S$145,12,FALSE)</f>
        <v>#N/A</v>
      </c>
    </row>
    <row r="267" spans="2:12" x14ac:dyDescent="0.25">
      <c r="B267" s="6" t="s">
        <v>517</v>
      </c>
      <c r="C267" s="6"/>
      <c r="D267" s="39" t="e">
        <f>VLOOKUP(D256,'IURAN TANAH'!$A$2:$S$145,13,FALSE)</f>
        <v>#N/A</v>
      </c>
      <c r="F267" s="6" t="s">
        <v>517</v>
      </c>
      <c r="G267" s="6"/>
      <c r="H267" s="39" t="e">
        <f>VLOOKUP(H256,'IURAN TANAH'!$A$2:$S$145,13,FALSE)</f>
        <v>#N/A</v>
      </c>
      <c r="J267" s="6" t="s">
        <v>517</v>
      </c>
      <c r="K267" s="6"/>
      <c r="L267" s="39" t="e">
        <f>VLOOKUP(L256,'IURAN TANAH'!$A$2:$S$145,13,FALSE)</f>
        <v>#N/A</v>
      </c>
    </row>
    <row r="268" spans="2:12" x14ac:dyDescent="0.25">
      <c r="B268" s="5" t="s">
        <v>518</v>
      </c>
      <c r="C268" s="5"/>
      <c r="D268" s="40" t="e">
        <f>VLOOKUP(D256,'IURAN TANAH'!$A$2:$S$145,14,FALSE)</f>
        <v>#N/A</v>
      </c>
      <c r="F268" s="5" t="s">
        <v>518</v>
      </c>
      <c r="G268" s="5"/>
      <c r="H268" s="40" t="e">
        <f>VLOOKUP(H256,'IURAN TANAH'!$A$2:$S$145,14,FALSE)</f>
        <v>#N/A</v>
      </c>
      <c r="J268" s="5" t="s">
        <v>518</v>
      </c>
      <c r="K268" s="5"/>
      <c r="L268" s="40" t="e">
        <f>VLOOKUP(L256,'IURAN TANAH'!$A$2:$S$145,14,FALSE)</f>
        <v>#N/A</v>
      </c>
    </row>
    <row r="269" spans="2:12" x14ac:dyDescent="0.25">
      <c r="B269" s="6" t="s">
        <v>519</v>
      </c>
      <c r="C269" s="6"/>
      <c r="D269" s="39" t="e">
        <f>VLOOKUP(D256,'IURAN TANAH'!$A$2:$S$145,15,FALSE)</f>
        <v>#N/A</v>
      </c>
      <c r="F269" s="6" t="s">
        <v>519</v>
      </c>
      <c r="G269" s="6"/>
      <c r="H269" s="39" t="e">
        <f>VLOOKUP(H256,'IURAN TANAH'!$A$2:$S$145,15,FALSE)</f>
        <v>#N/A</v>
      </c>
      <c r="J269" s="6" t="s">
        <v>519</v>
      </c>
      <c r="K269" s="6"/>
      <c r="L269" s="39" t="e">
        <f>VLOOKUP(L256,'IURAN TANAH'!$A$2:$S$145,15,FALSE)</f>
        <v>#N/A</v>
      </c>
    </row>
    <row r="270" spans="2:12" x14ac:dyDescent="0.25">
      <c r="B270" s="5" t="s">
        <v>520</v>
      </c>
      <c r="C270" s="5"/>
      <c r="D270" s="40" t="e">
        <f>VLOOKUP(D256,'IURAN TANAH'!$A$2:$S$145,16,FALSE)</f>
        <v>#N/A</v>
      </c>
      <c r="F270" s="5" t="s">
        <v>520</v>
      </c>
      <c r="G270" s="5"/>
      <c r="H270" s="40" t="e">
        <f>VLOOKUP(H256,'IURAN TANAH'!$A$2:$S$145,16,FALSE)</f>
        <v>#N/A</v>
      </c>
      <c r="J270" s="5" t="s">
        <v>520</v>
      </c>
      <c r="K270" s="5"/>
      <c r="L270" s="40" t="e">
        <f>VLOOKUP(L256,'IURAN TANAH'!$A$2:$S$145,16,FALSE)</f>
        <v>#N/A</v>
      </c>
    </row>
    <row r="271" spans="2:12" ht="18.75" customHeight="1" x14ac:dyDescent="0.3">
      <c r="B271" s="7" t="s">
        <v>21</v>
      </c>
      <c r="C271" s="7"/>
      <c r="D271" s="41" t="e">
        <f>SUM(D261:D270)</f>
        <v>#N/A</v>
      </c>
      <c r="F271" s="7" t="s">
        <v>21</v>
      </c>
      <c r="G271" s="7"/>
      <c r="H271" s="41" t="e">
        <f>SUM(H261:H270)</f>
        <v>#N/A</v>
      </c>
      <c r="J271" s="7" t="s">
        <v>21</v>
      </c>
      <c r="K271" s="7"/>
      <c r="L271" s="41" t="e">
        <f>SUM(L261:L270)</f>
        <v>#N/A</v>
      </c>
    </row>
    <row r="272" spans="2:12" x14ac:dyDescent="0.25">
      <c r="B272" s="5"/>
      <c r="C272" s="5"/>
      <c r="D272" s="5"/>
      <c r="F272" s="5"/>
      <c r="G272" s="5"/>
      <c r="H272" s="5"/>
      <c r="J272" s="5"/>
      <c r="K272" s="5"/>
      <c r="L272" s="5"/>
    </row>
    <row r="274" spans="2:12" x14ac:dyDescent="0.25">
      <c r="B274" s="5" t="s">
        <v>2</v>
      </c>
      <c r="C274" s="5" t="s">
        <v>507</v>
      </c>
      <c r="D274" s="5">
        <v>46</v>
      </c>
      <c r="F274" s="5" t="s">
        <v>2</v>
      </c>
      <c r="G274" s="5" t="s">
        <v>507</v>
      </c>
      <c r="H274" s="5">
        <v>47</v>
      </c>
      <c r="J274" s="5" t="s">
        <v>2</v>
      </c>
      <c r="K274" s="5" t="s">
        <v>507</v>
      </c>
      <c r="L274" s="5">
        <v>48</v>
      </c>
    </row>
    <row r="275" spans="2:12" x14ac:dyDescent="0.25">
      <c r="B275" s="6" t="s">
        <v>508</v>
      </c>
      <c r="C275" s="6" t="s">
        <v>507</v>
      </c>
      <c r="D275" s="6" t="e">
        <f>VLOOKUP(D274,'IURAN TANAH'!$A$2:$S$145,2,FALSE)</f>
        <v>#N/A</v>
      </c>
      <c r="F275" s="6" t="s">
        <v>508</v>
      </c>
      <c r="G275" s="6" t="s">
        <v>507</v>
      </c>
      <c r="H275" s="6" t="e">
        <f>VLOOKUP(H274,'IURAN TANAH'!$A$2:$S$145,2,FALSE)</f>
        <v>#N/A</v>
      </c>
      <c r="J275" s="6" t="s">
        <v>508</v>
      </c>
      <c r="K275" s="6" t="s">
        <v>507</v>
      </c>
      <c r="L275" s="6" t="e">
        <f>VLOOKUP(L274,'IURAN TANAH'!$A$2:$S$145,2,FALSE)</f>
        <v>#N/A</v>
      </c>
    </row>
    <row r="276" spans="2:12" x14ac:dyDescent="0.25">
      <c r="B276" s="5" t="s">
        <v>509</v>
      </c>
      <c r="C276" s="5" t="s">
        <v>507</v>
      </c>
      <c r="D276" s="5" t="e">
        <f>VLOOKUP(D274,'IURAN TANAH'!$A$2:$S$145,3,FALSE) &amp;" " &amp;VLOOKUP(D274,'IURAN TANAH'!$A$2:$S$145,4,FALSE)</f>
        <v>#N/A</v>
      </c>
      <c r="F276" s="5" t="s">
        <v>509</v>
      </c>
      <c r="G276" s="5" t="s">
        <v>507</v>
      </c>
      <c r="H276" s="5" t="e">
        <f>VLOOKUP(H274,'IURAN TANAH'!$A$2:$S$145,3,FALSE) &amp;" " &amp;VLOOKUP(H274,'IURAN TANAH'!$A$2:$S$145,4,FALSE)</f>
        <v>#N/A</v>
      </c>
      <c r="J276" s="5" t="s">
        <v>509</v>
      </c>
      <c r="K276" s="5" t="s">
        <v>507</v>
      </c>
      <c r="L276" s="5" t="e">
        <f>VLOOKUP(L274,'IURAN TANAH'!$A$2:$S$145,3,FALSE) &amp;" " &amp;VLOOKUP(L274,'IURAN TANAH'!$A$2:$S$145,4,FALSE)</f>
        <v>#N/A</v>
      </c>
    </row>
    <row r="277" spans="2:12" x14ac:dyDescent="0.25">
      <c r="B277" s="6"/>
      <c r="C277" s="6"/>
      <c r="D277" s="6"/>
      <c r="F277" s="6"/>
      <c r="G277" s="6"/>
      <c r="H277" s="6"/>
      <c r="J277" s="6"/>
      <c r="K277" s="6"/>
      <c r="L277" s="6"/>
    </row>
    <row r="278" spans="2:12" x14ac:dyDescent="0.25">
      <c r="B278" s="5" t="s">
        <v>510</v>
      </c>
      <c r="C278" s="5"/>
      <c r="D278" s="5"/>
      <c r="F278" s="5" t="s">
        <v>510</v>
      </c>
      <c r="G278" s="5"/>
      <c r="H278" s="5"/>
      <c r="J278" s="5" t="s">
        <v>510</v>
      </c>
      <c r="K278" s="5"/>
      <c r="L278" s="5"/>
    </row>
    <row r="279" spans="2:12" x14ac:dyDescent="0.25">
      <c r="B279" s="6" t="s">
        <v>511</v>
      </c>
      <c r="C279" s="6"/>
      <c r="D279" s="39" t="e">
        <f>VLOOKUP(D274,'IURAN TANAH'!$A$2:$S$145,7,FALSE)</f>
        <v>#N/A</v>
      </c>
      <c r="F279" s="6" t="s">
        <v>511</v>
      </c>
      <c r="G279" s="6"/>
      <c r="H279" s="39" t="e">
        <f>VLOOKUP(H274,'IURAN TANAH'!$A$2:$S$145,7,FALSE)</f>
        <v>#N/A</v>
      </c>
      <c r="J279" s="6" t="s">
        <v>511</v>
      </c>
      <c r="K279" s="6"/>
      <c r="L279" s="39" t="e">
        <f>VLOOKUP(L274,'IURAN TANAH'!$A$2:$S$145,7,FALSE)</f>
        <v>#N/A</v>
      </c>
    </row>
    <row r="280" spans="2:12" x14ac:dyDescent="0.25">
      <c r="B280" s="5" t="s">
        <v>512</v>
      </c>
      <c r="C280" s="5"/>
      <c r="D280" s="40" t="e">
        <f>VLOOKUP(D274,'IURAN TANAH'!$A$2:$S$145,8,FALSE)</f>
        <v>#N/A</v>
      </c>
      <c r="F280" s="5" t="s">
        <v>512</v>
      </c>
      <c r="G280" s="5"/>
      <c r="H280" s="40" t="e">
        <f>VLOOKUP(H274,'IURAN TANAH'!$A$2:$S$145,8,FALSE)</f>
        <v>#N/A</v>
      </c>
      <c r="J280" s="5" t="s">
        <v>512</v>
      </c>
      <c r="K280" s="5"/>
      <c r="L280" s="40" t="e">
        <f>VLOOKUP(L274,'IURAN TANAH'!$A$2:$S$145,8,FALSE)</f>
        <v>#N/A</v>
      </c>
    </row>
    <row r="281" spans="2:12" x14ac:dyDescent="0.25">
      <c r="B281" s="6" t="s">
        <v>513</v>
      </c>
      <c r="C281" s="6"/>
      <c r="D281" s="39" t="e">
        <f>VLOOKUP(D274,'IURAN TANAH'!$A$2:$S$145,9,FALSE)</f>
        <v>#N/A</v>
      </c>
      <c r="F281" s="6" t="s">
        <v>513</v>
      </c>
      <c r="G281" s="6"/>
      <c r="H281" s="39" t="e">
        <f>VLOOKUP(H274,'IURAN TANAH'!$A$2:$S$145,9,FALSE)</f>
        <v>#N/A</v>
      </c>
      <c r="J281" s="6" t="s">
        <v>513</v>
      </c>
      <c r="K281" s="6"/>
      <c r="L281" s="39" t="e">
        <f>VLOOKUP(L274,'IURAN TANAH'!$A$2:$S$145,9,FALSE)</f>
        <v>#N/A</v>
      </c>
    </row>
    <row r="282" spans="2:12" x14ac:dyDescent="0.25">
      <c r="B282" s="5" t="s">
        <v>514</v>
      </c>
      <c r="C282" s="5"/>
      <c r="D282" s="40" t="e">
        <f>VLOOKUP(D274,'IURAN TANAH'!$A$2:$S$145,10,FALSE)</f>
        <v>#N/A</v>
      </c>
      <c r="F282" s="5" t="s">
        <v>514</v>
      </c>
      <c r="G282" s="5"/>
      <c r="H282" s="40" t="e">
        <f>VLOOKUP(H274,'IURAN TANAH'!$A$2:$S$145,10,FALSE)</f>
        <v>#N/A</v>
      </c>
      <c r="J282" s="5" t="s">
        <v>514</v>
      </c>
      <c r="K282" s="5"/>
      <c r="L282" s="40" t="e">
        <f>VLOOKUP(L274,'IURAN TANAH'!$A$2:$S$145,10,FALSE)</f>
        <v>#N/A</v>
      </c>
    </row>
    <row r="283" spans="2:12" x14ac:dyDescent="0.25">
      <c r="B283" s="6" t="s">
        <v>515</v>
      </c>
      <c r="C283" s="6"/>
      <c r="D283" s="39" t="e">
        <f>VLOOKUP(D274,'IURAN TANAH'!$A$2:$S$145,11,FALSE)</f>
        <v>#N/A</v>
      </c>
      <c r="F283" s="6" t="s">
        <v>515</v>
      </c>
      <c r="G283" s="6"/>
      <c r="H283" s="39" t="e">
        <f>VLOOKUP(H274,'IURAN TANAH'!$A$2:$S$145,11,FALSE)</f>
        <v>#N/A</v>
      </c>
      <c r="J283" s="6" t="s">
        <v>515</v>
      </c>
      <c r="K283" s="6"/>
      <c r="L283" s="39" t="e">
        <f>VLOOKUP(L274,'IURAN TANAH'!$A$2:$S$145,11,FALSE)</f>
        <v>#N/A</v>
      </c>
    </row>
    <row r="284" spans="2:12" x14ac:dyDescent="0.25">
      <c r="B284" s="5" t="s">
        <v>516</v>
      </c>
      <c r="C284" s="5"/>
      <c r="D284" s="40" t="e">
        <f>VLOOKUP(D274,'IURAN TANAH'!$A$2:$S$145,12,FALSE)</f>
        <v>#N/A</v>
      </c>
      <c r="F284" s="5" t="s">
        <v>516</v>
      </c>
      <c r="G284" s="5"/>
      <c r="H284" s="40" t="e">
        <f>VLOOKUP(H274,'IURAN TANAH'!$A$2:$S$145,12,FALSE)</f>
        <v>#N/A</v>
      </c>
      <c r="J284" s="5" t="s">
        <v>516</v>
      </c>
      <c r="K284" s="5"/>
      <c r="L284" s="40" t="e">
        <f>VLOOKUP(L274,'IURAN TANAH'!$A$2:$S$145,12,FALSE)</f>
        <v>#N/A</v>
      </c>
    </row>
    <row r="285" spans="2:12" x14ac:dyDescent="0.25">
      <c r="B285" s="6" t="s">
        <v>517</v>
      </c>
      <c r="C285" s="6"/>
      <c r="D285" s="39" t="e">
        <f>VLOOKUP(D274,'IURAN TANAH'!$A$2:$S$145,13,FALSE)</f>
        <v>#N/A</v>
      </c>
      <c r="F285" s="6" t="s">
        <v>517</v>
      </c>
      <c r="G285" s="6"/>
      <c r="H285" s="39" t="e">
        <f>VLOOKUP(H274,'IURAN TANAH'!$A$2:$S$145,13,FALSE)</f>
        <v>#N/A</v>
      </c>
      <c r="J285" s="6" t="s">
        <v>517</v>
      </c>
      <c r="K285" s="6"/>
      <c r="L285" s="39" t="e">
        <f>VLOOKUP(L274,'IURAN TANAH'!$A$2:$S$145,13,FALSE)</f>
        <v>#N/A</v>
      </c>
    </row>
    <row r="286" spans="2:12" x14ac:dyDescent="0.25">
      <c r="B286" s="5" t="s">
        <v>518</v>
      </c>
      <c r="C286" s="5"/>
      <c r="D286" s="40" t="e">
        <f>VLOOKUP(D274,'IURAN TANAH'!$A$2:$S$145,14,FALSE)</f>
        <v>#N/A</v>
      </c>
      <c r="F286" s="5" t="s">
        <v>518</v>
      </c>
      <c r="G286" s="5"/>
      <c r="H286" s="40" t="e">
        <f>VLOOKUP(H274,'IURAN TANAH'!$A$2:$S$145,14,FALSE)</f>
        <v>#N/A</v>
      </c>
      <c r="J286" s="5" t="s">
        <v>518</v>
      </c>
      <c r="K286" s="5"/>
      <c r="L286" s="40" t="e">
        <f>VLOOKUP(L274,'IURAN TANAH'!$A$2:$S$145,14,FALSE)</f>
        <v>#N/A</v>
      </c>
    </row>
    <row r="287" spans="2:12" x14ac:dyDescent="0.25">
      <c r="B287" s="6" t="s">
        <v>519</v>
      </c>
      <c r="C287" s="6"/>
      <c r="D287" s="39" t="e">
        <f>VLOOKUP(D274,'IURAN TANAH'!$A$2:$S$145,15,FALSE)</f>
        <v>#N/A</v>
      </c>
      <c r="F287" s="6" t="s">
        <v>519</v>
      </c>
      <c r="G287" s="6"/>
      <c r="H287" s="39" t="e">
        <f>VLOOKUP(H274,'IURAN TANAH'!$A$2:$S$145,15,FALSE)</f>
        <v>#N/A</v>
      </c>
      <c r="J287" s="6" t="s">
        <v>519</v>
      </c>
      <c r="K287" s="6"/>
      <c r="L287" s="39" t="e">
        <f>VLOOKUP(L274,'IURAN TANAH'!$A$2:$S$145,15,FALSE)</f>
        <v>#N/A</v>
      </c>
    </row>
    <row r="288" spans="2:12" x14ac:dyDescent="0.25">
      <c r="B288" s="5" t="s">
        <v>520</v>
      </c>
      <c r="C288" s="5"/>
      <c r="D288" s="40" t="e">
        <f>VLOOKUP(D274,'IURAN TANAH'!$A$2:$S$145,16,FALSE)</f>
        <v>#N/A</v>
      </c>
      <c r="F288" s="5" t="s">
        <v>520</v>
      </c>
      <c r="G288" s="5"/>
      <c r="H288" s="40" t="e">
        <f>VLOOKUP(H274,'IURAN TANAH'!$A$2:$S$145,16,FALSE)</f>
        <v>#N/A</v>
      </c>
      <c r="J288" s="5" t="s">
        <v>520</v>
      </c>
      <c r="K288" s="5"/>
      <c r="L288" s="40" t="e">
        <f>VLOOKUP(L274,'IURAN TANAH'!$A$2:$S$145,16,FALSE)</f>
        <v>#N/A</v>
      </c>
    </row>
    <row r="289" spans="2:12" ht="18.75" customHeight="1" x14ac:dyDescent="0.3">
      <c r="B289" s="7" t="s">
        <v>21</v>
      </c>
      <c r="C289" s="7"/>
      <c r="D289" s="41" t="e">
        <f>SUM(D279:D288)</f>
        <v>#N/A</v>
      </c>
      <c r="F289" s="7" t="s">
        <v>21</v>
      </c>
      <c r="G289" s="7"/>
      <c r="H289" s="41" t="e">
        <f>SUM(H279:H288)</f>
        <v>#N/A</v>
      </c>
      <c r="J289" s="7" t="s">
        <v>21</v>
      </c>
      <c r="K289" s="7"/>
      <c r="L289" s="41" t="e">
        <f>SUM(L279:L288)</f>
        <v>#N/A</v>
      </c>
    </row>
    <row r="290" spans="2:12" x14ac:dyDescent="0.25">
      <c r="B290" s="5"/>
      <c r="C290" s="5"/>
      <c r="D290" s="5"/>
      <c r="F290" s="5"/>
      <c r="G290" s="5"/>
      <c r="H290" s="5"/>
      <c r="J290" s="5"/>
      <c r="K290" s="5"/>
      <c r="L290" s="5"/>
    </row>
    <row r="292" spans="2:12" x14ac:dyDescent="0.25">
      <c r="B292" s="5" t="s">
        <v>2</v>
      </c>
      <c r="C292" s="5" t="s">
        <v>507</v>
      </c>
      <c r="D292" s="5">
        <v>49</v>
      </c>
      <c r="F292" s="5" t="s">
        <v>2</v>
      </c>
      <c r="G292" s="5" t="s">
        <v>507</v>
      </c>
      <c r="H292" s="5">
        <v>50</v>
      </c>
      <c r="J292" s="5" t="s">
        <v>2</v>
      </c>
      <c r="K292" s="5" t="s">
        <v>507</v>
      </c>
      <c r="L292" s="5">
        <v>51</v>
      </c>
    </row>
    <row r="293" spans="2:12" x14ac:dyDescent="0.25">
      <c r="B293" s="6" t="s">
        <v>508</v>
      </c>
      <c r="C293" s="6" t="s">
        <v>507</v>
      </c>
      <c r="D293" s="6" t="e">
        <f>VLOOKUP(D292,'IURAN TANAH'!$A$2:$S$145,2,FALSE)</f>
        <v>#N/A</v>
      </c>
      <c r="F293" s="6" t="s">
        <v>508</v>
      </c>
      <c r="G293" s="6" t="s">
        <v>507</v>
      </c>
      <c r="H293" s="6" t="e">
        <f>VLOOKUP(H292,'IURAN TANAH'!$A$2:$S$145,2,FALSE)</f>
        <v>#N/A</v>
      </c>
      <c r="J293" s="6" t="s">
        <v>508</v>
      </c>
      <c r="K293" s="6" t="s">
        <v>507</v>
      </c>
      <c r="L293" s="6" t="e">
        <f>VLOOKUP(L292,'IURAN TANAH'!$A$2:$S$145,2,FALSE)</f>
        <v>#N/A</v>
      </c>
    </row>
    <row r="294" spans="2:12" x14ac:dyDescent="0.25">
      <c r="B294" s="5" t="s">
        <v>509</v>
      </c>
      <c r="C294" s="5" t="s">
        <v>507</v>
      </c>
      <c r="D294" s="5" t="e">
        <f>VLOOKUP(D292,'IURAN TANAH'!$A$2:$S$145,3,FALSE) &amp;" " &amp;VLOOKUP(D292,'IURAN TANAH'!$A$2:$S$145,4,FALSE)</f>
        <v>#N/A</v>
      </c>
      <c r="F294" s="5" t="s">
        <v>509</v>
      </c>
      <c r="G294" s="5" t="s">
        <v>507</v>
      </c>
      <c r="H294" s="5" t="e">
        <f>VLOOKUP(H292,'IURAN TANAH'!$A$2:$S$145,3,FALSE) &amp;" " &amp;VLOOKUP(H292,'IURAN TANAH'!$A$2:$S$145,4,FALSE)</f>
        <v>#N/A</v>
      </c>
      <c r="J294" s="5" t="s">
        <v>509</v>
      </c>
      <c r="K294" s="5" t="s">
        <v>507</v>
      </c>
      <c r="L294" s="5" t="e">
        <f>VLOOKUP(L292,'IURAN TANAH'!$A$2:$S$145,3,FALSE) &amp;" " &amp;VLOOKUP(L292,'IURAN TANAH'!$A$2:$S$145,4,FALSE)</f>
        <v>#N/A</v>
      </c>
    </row>
    <row r="295" spans="2:12" x14ac:dyDescent="0.25">
      <c r="B295" s="6"/>
      <c r="C295" s="6"/>
      <c r="D295" s="6"/>
      <c r="F295" s="6"/>
      <c r="G295" s="6"/>
      <c r="H295" s="6"/>
      <c r="J295" s="6"/>
      <c r="K295" s="6"/>
      <c r="L295" s="6"/>
    </row>
    <row r="296" spans="2:12" x14ac:dyDescent="0.25">
      <c r="B296" s="5" t="s">
        <v>510</v>
      </c>
      <c r="C296" s="5"/>
      <c r="D296" s="5"/>
      <c r="F296" s="5" t="s">
        <v>510</v>
      </c>
      <c r="G296" s="5"/>
      <c r="H296" s="5"/>
      <c r="J296" s="5" t="s">
        <v>510</v>
      </c>
      <c r="K296" s="5"/>
      <c r="L296" s="5"/>
    </row>
    <row r="297" spans="2:12" x14ac:dyDescent="0.25">
      <c r="B297" s="6" t="s">
        <v>511</v>
      </c>
      <c r="C297" s="6"/>
      <c r="D297" s="39" t="e">
        <f>VLOOKUP(D292,'IURAN TANAH'!$A$2:$S$145,7,FALSE)</f>
        <v>#N/A</v>
      </c>
      <c r="F297" s="6" t="s">
        <v>511</v>
      </c>
      <c r="G297" s="6"/>
      <c r="H297" s="39" t="e">
        <f>VLOOKUP(H292,'IURAN TANAH'!$A$2:$S$145,7,FALSE)</f>
        <v>#N/A</v>
      </c>
      <c r="J297" s="6" t="s">
        <v>511</v>
      </c>
      <c r="K297" s="6"/>
      <c r="L297" s="39" t="e">
        <f>VLOOKUP(L292,'IURAN TANAH'!$A$2:$S$145,7,FALSE)</f>
        <v>#N/A</v>
      </c>
    </row>
    <row r="298" spans="2:12" x14ac:dyDescent="0.25">
      <c r="B298" s="5" t="s">
        <v>512</v>
      </c>
      <c r="C298" s="5"/>
      <c r="D298" s="40" t="e">
        <f>VLOOKUP(D292,'IURAN TANAH'!$A$2:$S$145,8,FALSE)</f>
        <v>#N/A</v>
      </c>
      <c r="F298" s="5" t="s">
        <v>512</v>
      </c>
      <c r="G298" s="5"/>
      <c r="H298" s="40" t="e">
        <f>VLOOKUP(H292,'IURAN TANAH'!$A$2:$S$145,8,FALSE)</f>
        <v>#N/A</v>
      </c>
      <c r="J298" s="5" t="s">
        <v>512</v>
      </c>
      <c r="K298" s="5"/>
      <c r="L298" s="40" t="e">
        <f>VLOOKUP(L292,'IURAN TANAH'!$A$2:$S$145,8,FALSE)</f>
        <v>#N/A</v>
      </c>
    </row>
    <row r="299" spans="2:12" x14ac:dyDescent="0.25">
      <c r="B299" s="6" t="s">
        <v>513</v>
      </c>
      <c r="C299" s="6"/>
      <c r="D299" s="39" t="e">
        <f>VLOOKUP(D292,'IURAN TANAH'!$A$2:$S$145,9,FALSE)</f>
        <v>#N/A</v>
      </c>
      <c r="F299" s="6" t="s">
        <v>513</v>
      </c>
      <c r="G299" s="6"/>
      <c r="H299" s="39" t="e">
        <f>VLOOKUP(H292,'IURAN TANAH'!$A$2:$S$145,9,FALSE)</f>
        <v>#N/A</v>
      </c>
      <c r="J299" s="6" t="s">
        <v>513</v>
      </c>
      <c r="K299" s="6"/>
      <c r="L299" s="39" t="e">
        <f>VLOOKUP(L292,'IURAN TANAH'!$A$2:$S$145,9,FALSE)</f>
        <v>#N/A</v>
      </c>
    </row>
    <row r="300" spans="2:12" x14ac:dyDescent="0.25">
      <c r="B300" s="5" t="s">
        <v>514</v>
      </c>
      <c r="C300" s="5"/>
      <c r="D300" s="40" t="e">
        <f>VLOOKUP(D292,'IURAN TANAH'!$A$2:$S$145,10,FALSE)</f>
        <v>#N/A</v>
      </c>
      <c r="F300" s="5" t="s">
        <v>514</v>
      </c>
      <c r="G300" s="5"/>
      <c r="H300" s="40" t="e">
        <f>VLOOKUP(H292,'IURAN TANAH'!$A$2:$S$145,10,FALSE)</f>
        <v>#N/A</v>
      </c>
      <c r="J300" s="5" t="s">
        <v>514</v>
      </c>
      <c r="K300" s="5"/>
      <c r="L300" s="40" t="e">
        <f>VLOOKUP(L292,'IURAN TANAH'!$A$2:$S$145,10,FALSE)</f>
        <v>#N/A</v>
      </c>
    </row>
    <row r="301" spans="2:12" x14ac:dyDescent="0.25">
      <c r="B301" s="6" t="s">
        <v>515</v>
      </c>
      <c r="C301" s="6"/>
      <c r="D301" s="39" t="e">
        <f>VLOOKUP(D292,'IURAN TANAH'!$A$2:$S$145,11,FALSE)</f>
        <v>#N/A</v>
      </c>
      <c r="F301" s="6" t="s">
        <v>515</v>
      </c>
      <c r="G301" s="6"/>
      <c r="H301" s="39" t="e">
        <f>VLOOKUP(H292,'IURAN TANAH'!$A$2:$S$145,11,FALSE)</f>
        <v>#N/A</v>
      </c>
      <c r="J301" s="6" t="s">
        <v>515</v>
      </c>
      <c r="K301" s="6"/>
      <c r="L301" s="39" t="e">
        <f>VLOOKUP(L292,'IURAN TANAH'!$A$2:$S$145,11,FALSE)</f>
        <v>#N/A</v>
      </c>
    </row>
    <row r="302" spans="2:12" x14ac:dyDescent="0.25">
      <c r="B302" s="5" t="s">
        <v>516</v>
      </c>
      <c r="C302" s="5"/>
      <c r="D302" s="40" t="e">
        <f>VLOOKUP(D292,'IURAN TANAH'!$A$2:$S$145,12,FALSE)</f>
        <v>#N/A</v>
      </c>
      <c r="F302" s="5" t="s">
        <v>516</v>
      </c>
      <c r="G302" s="5"/>
      <c r="H302" s="40" t="e">
        <f>VLOOKUP(H292,'IURAN TANAH'!$A$2:$S$145,12,FALSE)</f>
        <v>#N/A</v>
      </c>
      <c r="J302" s="5" t="s">
        <v>516</v>
      </c>
      <c r="K302" s="5"/>
      <c r="L302" s="40" t="e">
        <f>VLOOKUP(L292,'IURAN TANAH'!$A$2:$S$145,12,FALSE)</f>
        <v>#N/A</v>
      </c>
    </row>
    <row r="303" spans="2:12" x14ac:dyDescent="0.25">
      <c r="B303" s="6" t="s">
        <v>517</v>
      </c>
      <c r="C303" s="6"/>
      <c r="D303" s="39" t="e">
        <f>VLOOKUP(D292,'IURAN TANAH'!$A$2:$S$145,13,FALSE)</f>
        <v>#N/A</v>
      </c>
      <c r="F303" s="6" t="s">
        <v>517</v>
      </c>
      <c r="G303" s="6"/>
      <c r="H303" s="39" t="e">
        <f>VLOOKUP(H292,'IURAN TANAH'!$A$2:$S$145,13,FALSE)</f>
        <v>#N/A</v>
      </c>
      <c r="J303" s="6" t="s">
        <v>517</v>
      </c>
      <c r="K303" s="6"/>
      <c r="L303" s="39" t="e">
        <f>VLOOKUP(L292,'IURAN TANAH'!$A$2:$S$145,13,FALSE)</f>
        <v>#N/A</v>
      </c>
    </row>
    <row r="304" spans="2:12" x14ac:dyDescent="0.25">
      <c r="B304" s="5" t="s">
        <v>518</v>
      </c>
      <c r="C304" s="5"/>
      <c r="D304" s="40" t="e">
        <f>VLOOKUP(D292,'IURAN TANAH'!$A$2:$S$145,14,FALSE)</f>
        <v>#N/A</v>
      </c>
      <c r="F304" s="5" t="s">
        <v>518</v>
      </c>
      <c r="G304" s="5"/>
      <c r="H304" s="40" t="e">
        <f>VLOOKUP(H292,'IURAN TANAH'!$A$2:$S$145,14,FALSE)</f>
        <v>#N/A</v>
      </c>
      <c r="J304" s="5" t="s">
        <v>518</v>
      </c>
      <c r="K304" s="5"/>
      <c r="L304" s="40" t="e">
        <f>VLOOKUP(L292,'IURAN TANAH'!$A$2:$S$145,14,FALSE)</f>
        <v>#N/A</v>
      </c>
    </row>
    <row r="305" spans="2:12" x14ac:dyDescent="0.25">
      <c r="B305" s="6" t="s">
        <v>519</v>
      </c>
      <c r="C305" s="6"/>
      <c r="D305" s="39" t="e">
        <f>VLOOKUP(D292,'IURAN TANAH'!$A$2:$S$145,15,FALSE)</f>
        <v>#N/A</v>
      </c>
      <c r="F305" s="6" t="s">
        <v>519</v>
      </c>
      <c r="G305" s="6"/>
      <c r="H305" s="39" t="e">
        <f>VLOOKUP(H292,'IURAN TANAH'!$A$2:$S$145,15,FALSE)</f>
        <v>#N/A</v>
      </c>
      <c r="J305" s="6" t="s">
        <v>519</v>
      </c>
      <c r="K305" s="6"/>
      <c r="L305" s="39" t="e">
        <f>VLOOKUP(L292,'IURAN TANAH'!$A$2:$S$145,15,FALSE)</f>
        <v>#N/A</v>
      </c>
    </row>
    <row r="306" spans="2:12" x14ac:dyDescent="0.25">
      <c r="B306" s="5" t="s">
        <v>520</v>
      </c>
      <c r="C306" s="5"/>
      <c r="D306" s="40" t="e">
        <f>VLOOKUP(D292,'IURAN TANAH'!$A$2:$S$145,16,FALSE)</f>
        <v>#N/A</v>
      </c>
      <c r="F306" s="5" t="s">
        <v>520</v>
      </c>
      <c r="G306" s="5"/>
      <c r="H306" s="40" t="e">
        <f>VLOOKUP(H292,'IURAN TANAH'!$A$2:$S$145,16,FALSE)</f>
        <v>#N/A</v>
      </c>
      <c r="J306" s="5" t="s">
        <v>520</v>
      </c>
      <c r="K306" s="5"/>
      <c r="L306" s="40" t="e">
        <f>VLOOKUP(L292,'IURAN TANAH'!$A$2:$S$145,16,FALSE)</f>
        <v>#N/A</v>
      </c>
    </row>
    <row r="307" spans="2:12" ht="18.75" customHeight="1" x14ac:dyDescent="0.3">
      <c r="B307" s="7" t="s">
        <v>21</v>
      </c>
      <c r="C307" s="7"/>
      <c r="D307" s="41" t="e">
        <f>SUM(D297:D306)</f>
        <v>#N/A</v>
      </c>
      <c r="F307" s="7" t="s">
        <v>21</v>
      </c>
      <c r="G307" s="7"/>
      <c r="H307" s="41" t="e">
        <f>SUM(H297:H306)</f>
        <v>#N/A</v>
      </c>
      <c r="J307" s="7" t="s">
        <v>21</v>
      </c>
      <c r="K307" s="7"/>
      <c r="L307" s="41" t="e">
        <f>SUM(L297:L306)</f>
        <v>#N/A</v>
      </c>
    </row>
    <row r="308" spans="2:12" x14ac:dyDescent="0.25">
      <c r="B308" s="5"/>
      <c r="C308" s="5"/>
      <c r="D308" s="5"/>
      <c r="F308" s="5"/>
      <c r="G308" s="5"/>
      <c r="H308" s="5"/>
      <c r="J308" s="5"/>
      <c r="K308" s="5"/>
      <c r="L308" s="5"/>
    </row>
    <row r="310" spans="2:12" x14ac:dyDescent="0.25">
      <c r="B310" s="5" t="s">
        <v>2</v>
      </c>
      <c r="C310" s="5" t="s">
        <v>507</v>
      </c>
      <c r="D310" s="5">
        <v>52</v>
      </c>
      <c r="F310" s="5" t="s">
        <v>2</v>
      </c>
      <c r="G310" s="5" t="s">
        <v>507</v>
      </c>
      <c r="H310" s="5">
        <v>53</v>
      </c>
      <c r="J310" s="5" t="s">
        <v>2</v>
      </c>
      <c r="K310" s="5" t="s">
        <v>507</v>
      </c>
      <c r="L310" s="5">
        <v>54</v>
      </c>
    </row>
    <row r="311" spans="2:12" x14ac:dyDescent="0.25">
      <c r="B311" s="6" t="s">
        <v>508</v>
      </c>
      <c r="C311" s="6" t="s">
        <v>507</v>
      </c>
      <c r="D311" s="6" t="e">
        <f>VLOOKUP(D310,'IURAN TANAH'!$A$2:$S$145,2,FALSE)</f>
        <v>#N/A</v>
      </c>
      <c r="F311" s="6" t="s">
        <v>508</v>
      </c>
      <c r="G311" s="6" t="s">
        <v>507</v>
      </c>
      <c r="H311" s="6" t="e">
        <f>VLOOKUP(H310,'IURAN TANAH'!$A$2:$S$145,2,FALSE)</f>
        <v>#N/A</v>
      </c>
      <c r="J311" s="6" t="s">
        <v>508</v>
      </c>
      <c r="K311" s="6" t="s">
        <v>507</v>
      </c>
      <c r="L311" s="6" t="e">
        <f>VLOOKUP(L310,'IURAN TANAH'!$A$2:$S$145,2,FALSE)</f>
        <v>#N/A</v>
      </c>
    </row>
    <row r="312" spans="2:12" x14ac:dyDescent="0.25">
      <c r="B312" s="5" t="s">
        <v>509</v>
      </c>
      <c r="C312" s="5" t="s">
        <v>507</v>
      </c>
      <c r="D312" s="5" t="e">
        <f>VLOOKUP(D310,'IURAN TANAH'!$A$2:$S$145,3,FALSE) &amp;" " &amp;VLOOKUP(D310,'IURAN TANAH'!$A$2:$S$145,4,FALSE)</f>
        <v>#N/A</v>
      </c>
      <c r="F312" s="5" t="s">
        <v>509</v>
      </c>
      <c r="G312" s="5" t="s">
        <v>507</v>
      </c>
      <c r="H312" s="5" t="e">
        <f>VLOOKUP(H310,'IURAN TANAH'!$A$2:$S$145,3,FALSE) &amp;" " &amp;VLOOKUP(H310,'IURAN TANAH'!$A$2:$S$145,4,FALSE)</f>
        <v>#N/A</v>
      </c>
      <c r="J312" s="5" t="s">
        <v>509</v>
      </c>
      <c r="K312" s="5" t="s">
        <v>507</v>
      </c>
      <c r="L312" s="5" t="e">
        <f>VLOOKUP(L310,'IURAN TANAH'!$A$2:$S$145,3,FALSE) &amp;" " &amp;VLOOKUP(L310,'IURAN TANAH'!$A$2:$S$145,4,FALSE)</f>
        <v>#N/A</v>
      </c>
    </row>
    <row r="313" spans="2:12" x14ac:dyDescent="0.25">
      <c r="B313" s="6"/>
      <c r="C313" s="6"/>
      <c r="D313" s="6"/>
      <c r="F313" s="6"/>
      <c r="G313" s="6"/>
      <c r="H313" s="6"/>
      <c r="J313" s="6"/>
      <c r="K313" s="6"/>
      <c r="L313" s="6"/>
    </row>
    <row r="314" spans="2:12" x14ac:dyDescent="0.25">
      <c r="B314" s="5" t="s">
        <v>510</v>
      </c>
      <c r="C314" s="5"/>
      <c r="D314" s="5"/>
      <c r="F314" s="5" t="s">
        <v>510</v>
      </c>
      <c r="G314" s="5"/>
      <c r="H314" s="5"/>
      <c r="J314" s="5" t="s">
        <v>510</v>
      </c>
      <c r="K314" s="5"/>
      <c r="L314" s="5"/>
    </row>
    <row r="315" spans="2:12" x14ac:dyDescent="0.25">
      <c r="B315" s="6" t="s">
        <v>511</v>
      </c>
      <c r="C315" s="6"/>
      <c r="D315" s="39" t="e">
        <f>VLOOKUP(D310,'IURAN TANAH'!$A$2:$S$145,7,FALSE)</f>
        <v>#N/A</v>
      </c>
      <c r="F315" s="6" t="s">
        <v>511</v>
      </c>
      <c r="G315" s="6"/>
      <c r="H315" s="39" t="e">
        <f>VLOOKUP(H310,'IURAN TANAH'!$A$2:$S$145,7,FALSE)</f>
        <v>#N/A</v>
      </c>
      <c r="J315" s="6" t="s">
        <v>511</v>
      </c>
      <c r="K315" s="6"/>
      <c r="L315" s="39" t="e">
        <f>VLOOKUP(L310,'IURAN TANAH'!$A$2:$S$145,7,FALSE)</f>
        <v>#N/A</v>
      </c>
    </row>
    <row r="316" spans="2:12" x14ac:dyDescent="0.25">
      <c r="B316" s="5" t="s">
        <v>512</v>
      </c>
      <c r="C316" s="5"/>
      <c r="D316" s="40" t="e">
        <f>VLOOKUP(D310,'IURAN TANAH'!$A$2:$S$145,8,FALSE)</f>
        <v>#N/A</v>
      </c>
      <c r="F316" s="5" t="s">
        <v>512</v>
      </c>
      <c r="G316" s="5"/>
      <c r="H316" s="40" t="e">
        <f>VLOOKUP(H310,'IURAN TANAH'!$A$2:$S$145,8,FALSE)</f>
        <v>#N/A</v>
      </c>
      <c r="J316" s="5" t="s">
        <v>512</v>
      </c>
      <c r="K316" s="5"/>
      <c r="L316" s="40" t="e">
        <f>VLOOKUP(L310,'IURAN TANAH'!$A$2:$S$145,8,FALSE)</f>
        <v>#N/A</v>
      </c>
    </row>
    <row r="317" spans="2:12" x14ac:dyDescent="0.25">
      <c r="B317" s="6" t="s">
        <v>513</v>
      </c>
      <c r="C317" s="6"/>
      <c r="D317" s="39" t="e">
        <f>VLOOKUP(D310,'IURAN TANAH'!$A$2:$S$145,9,FALSE)</f>
        <v>#N/A</v>
      </c>
      <c r="F317" s="6" t="s">
        <v>513</v>
      </c>
      <c r="G317" s="6"/>
      <c r="H317" s="39" t="e">
        <f>VLOOKUP(H310,'IURAN TANAH'!$A$2:$S$145,9,FALSE)</f>
        <v>#N/A</v>
      </c>
      <c r="J317" s="6" t="s">
        <v>513</v>
      </c>
      <c r="K317" s="6"/>
      <c r="L317" s="39" t="e">
        <f>VLOOKUP(L310,'IURAN TANAH'!$A$2:$S$145,9,FALSE)</f>
        <v>#N/A</v>
      </c>
    </row>
    <row r="318" spans="2:12" x14ac:dyDescent="0.25">
      <c r="B318" s="5" t="s">
        <v>514</v>
      </c>
      <c r="C318" s="5"/>
      <c r="D318" s="40" t="e">
        <f>VLOOKUP(D310,'IURAN TANAH'!$A$2:$S$145,10,FALSE)</f>
        <v>#N/A</v>
      </c>
      <c r="F318" s="5" t="s">
        <v>514</v>
      </c>
      <c r="G318" s="5"/>
      <c r="H318" s="40" t="e">
        <f>VLOOKUP(H310,'IURAN TANAH'!$A$2:$S$145,10,FALSE)</f>
        <v>#N/A</v>
      </c>
      <c r="J318" s="5" t="s">
        <v>514</v>
      </c>
      <c r="K318" s="5"/>
      <c r="L318" s="40" t="e">
        <f>VLOOKUP(L310,'IURAN TANAH'!$A$2:$S$145,10,FALSE)</f>
        <v>#N/A</v>
      </c>
    </row>
    <row r="319" spans="2:12" x14ac:dyDescent="0.25">
      <c r="B319" s="6" t="s">
        <v>515</v>
      </c>
      <c r="C319" s="6"/>
      <c r="D319" s="39" t="e">
        <f>VLOOKUP(D310,'IURAN TANAH'!$A$2:$S$145,11,FALSE)</f>
        <v>#N/A</v>
      </c>
      <c r="F319" s="6" t="s">
        <v>515</v>
      </c>
      <c r="G319" s="6"/>
      <c r="H319" s="39" t="e">
        <f>VLOOKUP(H310,'IURAN TANAH'!$A$2:$S$145,11,FALSE)</f>
        <v>#N/A</v>
      </c>
      <c r="J319" s="6" t="s">
        <v>515</v>
      </c>
      <c r="K319" s="6"/>
      <c r="L319" s="39" t="e">
        <f>VLOOKUP(L310,'IURAN TANAH'!$A$2:$S$145,11,FALSE)</f>
        <v>#N/A</v>
      </c>
    </row>
    <row r="320" spans="2:12" x14ac:dyDescent="0.25">
      <c r="B320" s="5" t="s">
        <v>516</v>
      </c>
      <c r="C320" s="5"/>
      <c r="D320" s="40" t="e">
        <f>VLOOKUP(D310,'IURAN TANAH'!$A$2:$S$145,12,FALSE)</f>
        <v>#N/A</v>
      </c>
      <c r="F320" s="5" t="s">
        <v>516</v>
      </c>
      <c r="G320" s="5"/>
      <c r="H320" s="40" t="e">
        <f>VLOOKUP(H310,'IURAN TANAH'!$A$2:$S$145,12,FALSE)</f>
        <v>#N/A</v>
      </c>
      <c r="J320" s="5" t="s">
        <v>516</v>
      </c>
      <c r="K320" s="5"/>
      <c r="L320" s="40" t="e">
        <f>VLOOKUP(L310,'IURAN TANAH'!$A$2:$S$145,12,FALSE)</f>
        <v>#N/A</v>
      </c>
    </row>
    <row r="321" spans="2:12" x14ac:dyDescent="0.25">
      <c r="B321" s="6" t="s">
        <v>517</v>
      </c>
      <c r="C321" s="6"/>
      <c r="D321" s="39" t="e">
        <f>VLOOKUP(D310,'IURAN TANAH'!$A$2:$S$145,13,FALSE)</f>
        <v>#N/A</v>
      </c>
      <c r="F321" s="6" t="s">
        <v>517</v>
      </c>
      <c r="G321" s="6"/>
      <c r="H321" s="39" t="e">
        <f>VLOOKUP(H310,'IURAN TANAH'!$A$2:$S$145,13,FALSE)</f>
        <v>#N/A</v>
      </c>
      <c r="J321" s="6" t="s">
        <v>517</v>
      </c>
      <c r="K321" s="6"/>
      <c r="L321" s="39" t="e">
        <f>VLOOKUP(L310,'IURAN TANAH'!$A$2:$S$145,13,FALSE)</f>
        <v>#N/A</v>
      </c>
    </row>
    <row r="322" spans="2:12" x14ac:dyDescent="0.25">
      <c r="B322" s="5" t="s">
        <v>518</v>
      </c>
      <c r="C322" s="5"/>
      <c r="D322" s="40" t="e">
        <f>VLOOKUP(D310,'IURAN TANAH'!$A$2:$S$145,14,FALSE)</f>
        <v>#N/A</v>
      </c>
      <c r="F322" s="5" t="s">
        <v>518</v>
      </c>
      <c r="G322" s="5"/>
      <c r="H322" s="40" t="e">
        <f>VLOOKUP(H310,'IURAN TANAH'!$A$2:$S$145,14,FALSE)</f>
        <v>#N/A</v>
      </c>
      <c r="J322" s="5" t="s">
        <v>518</v>
      </c>
      <c r="K322" s="5"/>
      <c r="L322" s="40" t="e">
        <f>VLOOKUP(L310,'IURAN TANAH'!$A$2:$S$145,14,FALSE)</f>
        <v>#N/A</v>
      </c>
    </row>
    <row r="323" spans="2:12" x14ac:dyDescent="0.25">
      <c r="B323" s="6" t="s">
        <v>519</v>
      </c>
      <c r="C323" s="6"/>
      <c r="D323" s="39" t="e">
        <f>VLOOKUP(D310,'IURAN TANAH'!$A$2:$S$145,15,FALSE)</f>
        <v>#N/A</v>
      </c>
      <c r="F323" s="6" t="s">
        <v>519</v>
      </c>
      <c r="G323" s="6"/>
      <c r="H323" s="39" t="e">
        <f>VLOOKUP(H310,'IURAN TANAH'!$A$2:$S$145,15,FALSE)</f>
        <v>#N/A</v>
      </c>
      <c r="J323" s="6" t="s">
        <v>519</v>
      </c>
      <c r="K323" s="6"/>
      <c r="L323" s="39" t="e">
        <f>VLOOKUP(L310,'IURAN TANAH'!$A$2:$S$145,15,FALSE)</f>
        <v>#N/A</v>
      </c>
    </row>
    <row r="324" spans="2:12" x14ac:dyDescent="0.25">
      <c r="B324" s="5" t="s">
        <v>520</v>
      </c>
      <c r="C324" s="5"/>
      <c r="D324" s="40" t="e">
        <f>VLOOKUP(D310,'IURAN TANAH'!$A$2:$S$145,16,FALSE)</f>
        <v>#N/A</v>
      </c>
      <c r="F324" s="5" t="s">
        <v>520</v>
      </c>
      <c r="G324" s="5"/>
      <c r="H324" s="40" t="e">
        <f>VLOOKUP(H310,'IURAN TANAH'!$A$2:$S$145,16,FALSE)</f>
        <v>#N/A</v>
      </c>
      <c r="J324" s="5" t="s">
        <v>520</v>
      </c>
      <c r="K324" s="5"/>
      <c r="L324" s="40" t="e">
        <f>VLOOKUP(L310,'IURAN TANAH'!$A$2:$S$145,16,FALSE)</f>
        <v>#N/A</v>
      </c>
    </row>
    <row r="325" spans="2:12" ht="18.75" customHeight="1" x14ac:dyDescent="0.3">
      <c r="B325" s="7" t="s">
        <v>21</v>
      </c>
      <c r="C325" s="7"/>
      <c r="D325" s="41" t="e">
        <f>SUM(D315:D324)</f>
        <v>#N/A</v>
      </c>
      <c r="F325" s="7" t="s">
        <v>21</v>
      </c>
      <c r="G325" s="7"/>
      <c r="H325" s="41" t="e">
        <f>SUM(H315:H324)</f>
        <v>#N/A</v>
      </c>
      <c r="J325" s="7" t="s">
        <v>21</v>
      </c>
      <c r="K325" s="7"/>
      <c r="L325" s="41" t="e">
        <f>SUM(L315:L324)</f>
        <v>#N/A</v>
      </c>
    </row>
    <row r="326" spans="2:12" x14ac:dyDescent="0.25">
      <c r="B326" s="5"/>
      <c r="C326" s="5"/>
      <c r="D326" s="5"/>
      <c r="F326" s="5"/>
      <c r="G326" s="5"/>
      <c r="H326" s="5"/>
      <c r="J326" s="5"/>
      <c r="K326" s="5"/>
      <c r="L326" s="5"/>
    </row>
    <row r="328" spans="2:12" x14ac:dyDescent="0.25">
      <c r="B328" s="5" t="s">
        <v>2</v>
      </c>
      <c r="C328" s="5" t="s">
        <v>507</v>
      </c>
      <c r="D328" s="5">
        <v>55</v>
      </c>
      <c r="F328" s="5" t="s">
        <v>2</v>
      </c>
      <c r="G328" s="5" t="s">
        <v>507</v>
      </c>
      <c r="H328" s="5">
        <v>56</v>
      </c>
      <c r="J328" s="5" t="s">
        <v>2</v>
      </c>
      <c r="K328" s="5" t="s">
        <v>507</v>
      </c>
      <c r="L328" s="5">
        <v>57</v>
      </c>
    </row>
    <row r="329" spans="2:12" x14ac:dyDescent="0.25">
      <c r="B329" s="6" t="s">
        <v>508</v>
      </c>
      <c r="C329" s="6" t="s">
        <v>507</v>
      </c>
      <c r="D329" s="6" t="e">
        <f>VLOOKUP(D328,'IURAN TANAH'!$A$2:$S$145,2,FALSE)</f>
        <v>#N/A</v>
      </c>
      <c r="F329" s="6" t="s">
        <v>508</v>
      </c>
      <c r="G329" s="6" t="s">
        <v>507</v>
      </c>
      <c r="H329" s="6" t="e">
        <f>VLOOKUP(H328,'IURAN TANAH'!$A$2:$S$145,2,FALSE)</f>
        <v>#N/A</v>
      </c>
      <c r="J329" s="6" t="s">
        <v>508</v>
      </c>
      <c r="K329" s="6" t="s">
        <v>507</v>
      </c>
      <c r="L329" s="6" t="e">
        <f>VLOOKUP(L328,'IURAN TANAH'!$A$2:$S$145,2,FALSE)</f>
        <v>#N/A</v>
      </c>
    </row>
    <row r="330" spans="2:12" x14ac:dyDescent="0.25">
      <c r="B330" s="5" t="s">
        <v>509</v>
      </c>
      <c r="C330" s="5" t="s">
        <v>507</v>
      </c>
      <c r="D330" s="5" t="e">
        <f>VLOOKUP(D328,'IURAN TANAH'!$A$2:$S$145,3,FALSE) &amp;" " &amp;VLOOKUP(D328,'IURAN TANAH'!$A$2:$S$145,4,FALSE)</f>
        <v>#N/A</v>
      </c>
      <c r="F330" s="5" t="s">
        <v>509</v>
      </c>
      <c r="G330" s="5" t="s">
        <v>507</v>
      </c>
      <c r="H330" s="5" t="e">
        <f>VLOOKUP(H328,'IURAN TANAH'!$A$2:$S$145,3,FALSE) &amp;" " &amp;VLOOKUP(H328,'IURAN TANAH'!$A$2:$S$145,4,FALSE)</f>
        <v>#N/A</v>
      </c>
      <c r="J330" s="5" t="s">
        <v>509</v>
      </c>
      <c r="K330" s="5" t="s">
        <v>507</v>
      </c>
      <c r="L330" s="5" t="e">
        <f>VLOOKUP(L328,'IURAN TANAH'!$A$2:$S$145,3,FALSE) &amp;" " &amp;VLOOKUP(L328,'IURAN TANAH'!$A$2:$S$145,4,FALSE)</f>
        <v>#N/A</v>
      </c>
    </row>
    <row r="331" spans="2:12" x14ac:dyDescent="0.25">
      <c r="B331" s="6"/>
      <c r="C331" s="6"/>
      <c r="D331" s="6"/>
      <c r="F331" s="6"/>
      <c r="G331" s="6"/>
      <c r="H331" s="6"/>
      <c r="J331" s="6"/>
      <c r="K331" s="6"/>
      <c r="L331" s="6"/>
    </row>
    <row r="332" spans="2:12" x14ac:dyDescent="0.25">
      <c r="B332" s="5" t="s">
        <v>510</v>
      </c>
      <c r="C332" s="5"/>
      <c r="D332" s="5"/>
      <c r="F332" s="5" t="s">
        <v>510</v>
      </c>
      <c r="G332" s="5"/>
      <c r="H332" s="5"/>
      <c r="J332" s="5" t="s">
        <v>510</v>
      </c>
      <c r="K332" s="5"/>
      <c r="L332" s="5"/>
    </row>
    <row r="333" spans="2:12" x14ac:dyDescent="0.25">
      <c r="B333" s="6" t="s">
        <v>511</v>
      </c>
      <c r="C333" s="6"/>
      <c r="D333" s="39" t="e">
        <f>VLOOKUP(D328,'IURAN TANAH'!$A$2:$S$145,7,FALSE)</f>
        <v>#N/A</v>
      </c>
      <c r="F333" s="6" t="s">
        <v>511</v>
      </c>
      <c r="G333" s="6"/>
      <c r="H333" s="39" t="e">
        <f>VLOOKUP(H328,'IURAN TANAH'!$A$2:$S$145,7,FALSE)</f>
        <v>#N/A</v>
      </c>
      <c r="J333" s="6" t="s">
        <v>511</v>
      </c>
      <c r="K333" s="6"/>
      <c r="L333" s="39" t="e">
        <f>VLOOKUP(L328,'IURAN TANAH'!$A$2:$S$145,7,FALSE)</f>
        <v>#N/A</v>
      </c>
    </row>
    <row r="334" spans="2:12" x14ac:dyDescent="0.25">
      <c r="B334" s="5" t="s">
        <v>512</v>
      </c>
      <c r="C334" s="5"/>
      <c r="D334" s="40" t="e">
        <f>VLOOKUP(D328,'IURAN TANAH'!$A$2:$S$145,8,FALSE)</f>
        <v>#N/A</v>
      </c>
      <c r="F334" s="5" t="s">
        <v>512</v>
      </c>
      <c r="G334" s="5"/>
      <c r="H334" s="40" t="e">
        <f>VLOOKUP(H328,'IURAN TANAH'!$A$2:$S$145,8,FALSE)</f>
        <v>#N/A</v>
      </c>
      <c r="J334" s="5" t="s">
        <v>512</v>
      </c>
      <c r="K334" s="5"/>
      <c r="L334" s="40" t="e">
        <f>VLOOKUP(L328,'IURAN TANAH'!$A$2:$S$145,8,FALSE)</f>
        <v>#N/A</v>
      </c>
    </row>
    <row r="335" spans="2:12" x14ac:dyDescent="0.25">
      <c r="B335" s="6" t="s">
        <v>513</v>
      </c>
      <c r="C335" s="6"/>
      <c r="D335" s="39" t="e">
        <f>VLOOKUP(D328,'IURAN TANAH'!$A$2:$S$145,9,FALSE)</f>
        <v>#N/A</v>
      </c>
      <c r="F335" s="6" t="s">
        <v>513</v>
      </c>
      <c r="G335" s="6"/>
      <c r="H335" s="39" t="e">
        <f>VLOOKUP(H328,'IURAN TANAH'!$A$2:$S$145,9,FALSE)</f>
        <v>#N/A</v>
      </c>
      <c r="J335" s="6" t="s">
        <v>513</v>
      </c>
      <c r="K335" s="6"/>
      <c r="L335" s="39" t="e">
        <f>VLOOKUP(L328,'IURAN TANAH'!$A$2:$S$145,9,FALSE)</f>
        <v>#N/A</v>
      </c>
    </row>
    <row r="336" spans="2:12" x14ac:dyDescent="0.25">
      <c r="B336" s="5" t="s">
        <v>514</v>
      </c>
      <c r="C336" s="5"/>
      <c r="D336" s="40" t="e">
        <f>VLOOKUP(D328,'IURAN TANAH'!$A$2:$S$145,10,FALSE)</f>
        <v>#N/A</v>
      </c>
      <c r="F336" s="5" t="s">
        <v>514</v>
      </c>
      <c r="G336" s="5"/>
      <c r="H336" s="40" t="e">
        <f>VLOOKUP(H328,'IURAN TANAH'!$A$2:$S$145,10,FALSE)</f>
        <v>#N/A</v>
      </c>
      <c r="J336" s="5" t="s">
        <v>514</v>
      </c>
      <c r="K336" s="5"/>
      <c r="L336" s="40" t="e">
        <f>VLOOKUP(L328,'IURAN TANAH'!$A$2:$S$145,10,FALSE)</f>
        <v>#N/A</v>
      </c>
    </row>
    <row r="337" spans="2:12" x14ac:dyDescent="0.25">
      <c r="B337" s="6" t="s">
        <v>515</v>
      </c>
      <c r="C337" s="6"/>
      <c r="D337" s="39" t="e">
        <f>VLOOKUP(D328,'IURAN TANAH'!$A$2:$S$145,11,FALSE)</f>
        <v>#N/A</v>
      </c>
      <c r="F337" s="6" t="s">
        <v>515</v>
      </c>
      <c r="G337" s="6"/>
      <c r="H337" s="39" t="e">
        <f>VLOOKUP(H328,'IURAN TANAH'!$A$2:$S$145,11,FALSE)</f>
        <v>#N/A</v>
      </c>
      <c r="J337" s="6" t="s">
        <v>515</v>
      </c>
      <c r="K337" s="6"/>
      <c r="L337" s="39" t="e">
        <f>VLOOKUP(L328,'IURAN TANAH'!$A$2:$S$145,11,FALSE)</f>
        <v>#N/A</v>
      </c>
    </row>
    <row r="338" spans="2:12" x14ac:dyDescent="0.25">
      <c r="B338" s="5" t="s">
        <v>516</v>
      </c>
      <c r="C338" s="5"/>
      <c r="D338" s="40" t="e">
        <f>VLOOKUP(D328,'IURAN TANAH'!$A$2:$S$145,12,FALSE)</f>
        <v>#N/A</v>
      </c>
      <c r="F338" s="5" t="s">
        <v>516</v>
      </c>
      <c r="G338" s="5"/>
      <c r="H338" s="40" t="e">
        <f>VLOOKUP(H328,'IURAN TANAH'!$A$2:$S$145,12,FALSE)</f>
        <v>#N/A</v>
      </c>
      <c r="J338" s="5" t="s">
        <v>516</v>
      </c>
      <c r="K338" s="5"/>
      <c r="L338" s="40" t="e">
        <f>VLOOKUP(L328,'IURAN TANAH'!$A$2:$S$145,12,FALSE)</f>
        <v>#N/A</v>
      </c>
    </row>
    <row r="339" spans="2:12" x14ac:dyDescent="0.25">
      <c r="B339" s="6" t="s">
        <v>517</v>
      </c>
      <c r="C339" s="6"/>
      <c r="D339" s="39" t="e">
        <f>VLOOKUP(D328,'IURAN TANAH'!$A$2:$S$145,13,FALSE)</f>
        <v>#N/A</v>
      </c>
      <c r="F339" s="6" t="s">
        <v>517</v>
      </c>
      <c r="G339" s="6"/>
      <c r="H339" s="39" t="e">
        <f>VLOOKUP(H328,'IURAN TANAH'!$A$2:$S$145,13,FALSE)</f>
        <v>#N/A</v>
      </c>
      <c r="J339" s="6" t="s">
        <v>517</v>
      </c>
      <c r="K339" s="6"/>
      <c r="L339" s="39" t="e">
        <f>VLOOKUP(L328,'IURAN TANAH'!$A$2:$S$145,13,FALSE)</f>
        <v>#N/A</v>
      </c>
    </row>
    <row r="340" spans="2:12" x14ac:dyDescent="0.25">
      <c r="B340" s="5" t="s">
        <v>518</v>
      </c>
      <c r="C340" s="5"/>
      <c r="D340" s="40" t="e">
        <f>VLOOKUP(D328,'IURAN TANAH'!$A$2:$S$145,14,FALSE)</f>
        <v>#N/A</v>
      </c>
      <c r="F340" s="5" t="s">
        <v>518</v>
      </c>
      <c r="G340" s="5"/>
      <c r="H340" s="40" t="e">
        <f>VLOOKUP(H328,'IURAN TANAH'!$A$2:$S$145,14,FALSE)</f>
        <v>#N/A</v>
      </c>
      <c r="J340" s="5" t="s">
        <v>518</v>
      </c>
      <c r="K340" s="5"/>
      <c r="L340" s="40" t="e">
        <f>VLOOKUP(L328,'IURAN TANAH'!$A$2:$S$145,14,FALSE)</f>
        <v>#N/A</v>
      </c>
    </row>
    <row r="341" spans="2:12" x14ac:dyDescent="0.25">
      <c r="B341" s="6" t="s">
        <v>519</v>
      </c>
      <c r="C341" s="6"/>
      <c r="D341" s="39" t="e">
        <f>VLOOKUP(D328,'IURAN TANAH'!$A$2:$S$145,15,FALSE)</f>
        <v>#N/A</v>
      </c>
      <c r="F341" s="6" t="s">
        <v>519</v>
      </c>
      <c r="G341" s="6"/>
      <c r="H341" s="39" t="e">
        <f>VLOOKUP(H328,'IURAN TANAH'!$A$2:$S$145,15,FALSE)</f>
        <v>#N/A</v>
      </c>
      <c r="J341" s="6" t="s">
        <v>519</v>
      </c>
      <c r="K341" s="6"/>
      <c r="L341" s="39" t="e">
        <f>VLOOKUP(L328,'IURAN TANAH'!$A$2:$S$145,15,FALSE)</f>
        <v>#N/A</v>
      </c>
    </row>
    <row r="342" spans="2:12" x14ac:dyDescent="0.25">
      <c r="B342" s="5" t="s">
        <v>520</v>
      </c>
      <c r="C342" s="5"/>
      <c r="D342" s="40" t="e">
        <f>VLOOKUP(D328,'IURAN TANAH'!$A$2:$S$145,16,FALSE)</f>
        <v>#N/A</v>
      </c>
      <c r="F342" s="5" t="s">
        <v>520</v>
      </c>
      <c r="G342" s="5"/>
      <c r="H342" s="40" t="e">
        <f>VLOOKUP(H328,'IURAN TANAH'!$A$2:$S$145,16,FALSE)</f>
        <v>#N/A</v>
      </c>
      <c r="J342" s="5" t="s">
        <v>520</v>
      </c>
      <c r="K342" s="5"/>
      <c r="L342" s="40" t="e">
        <f>VLOOKUP(L328,'IURAN TANAH'!$A$2:$S$145,16,FALSE)</f>
        <v>#N/A</v>
      </c>
    </row>
    <row r="343" spans="2:12" ht="18.75" customHeight="1" x14ac:dyDescent="0.3">
      <c r="B343" s="7" t="s">
        <v>21</v>
      </c>
      <c r="C343" s="7"/>
      <c r="D343" s="41" t="e">
        <f>SUM(D333:D342)</f>
        <v>#N/A</v>
      </c>
      <c r="F343" s="7" t="s">
        <v>21</v>
      </c>
      <c r="G343" s="7"/>
      <c r="H343" s="41" t="e">
        <f>SUM(H333:H342)</f>
        <v>#N/A</v>
      </c>
      <c r="J343" s="7" t="s">
        <v>21</v>
      </c>
      <c r="K343" s="7"/>
      <c r="L343" s="41" t="e">
        <f>SUM(L333:L342)</f>
        <v>#N/A</v>
      </c>
    </row>
    <row r="344" spans="2:12" x14ac:dyDescent="0.25">
      <c r="B344" s="5"/>
      <c r="C344" s="5"/>
      <c r="D344" s="5"/>
      <c r="F344" s="5"/>
      <c r="G344" s="5"/>
      <c r="H344" s="5"/>
      <c r="J344" s="5"/>
      <c r="K344" s="5"/>
      <c r="L344" s="5"/>
    </row>
    <row r="346" spans="2:12" x14ac:dyDescent="0.25">
      <c r="B346" s="5" t="s">
        <v>2</v>
      </c>
      <c r="C346" s="5" t="s">
        <v>507</v>
      </c>
      <c r="D346" s="5">
        <v>58</v>
      </c>
      <c r="F346" s="5" t="s">
        <v>2</v>
      </c>
      <c r="G346" s="5" t="s">
        <v>507</v>
      </c>
      <c r="H346" s="5">
        <v>59</v>
      </c>
      <c r="J346" s="5" t="s">
        <v>2</v>
      </c>
      <c r="K346" s="5" t="s">
        <v>507</v>
      </c>
      <c r="L346" s="5">
        <v>60</v>
      </c>
    </row>
    <row r="347" spans="2:12" x14ac:dyDescent="0.25">
      <c r="B347" s="6" t="s">
        <v>508</v>
      </c>
      <c r="C347" s="6" t="s">
        <v>507</v>
      </c>
      <c r="D347" s="6" t="e">
        <f>VLOOKUP(D346,'IURAN TANAH'!$A$2:$S$145,2,FALSE)</f>
        <v>#N/A</v>
      </c>
      <c r="F347" s="6" t="s">
        <v>508</v>
      </c>
      <c r="G347" s="6" t="s">
        <v>507</v>
      </c>
      <c r="H347" s="6" t="e">
        <f>VLOOKUP(H346,'IURAN TANAH'!$A$2:$S$145,2,FALSE)</f>
        <v>#N/A</v>
      </c>
      <c r="J347" s="6" t="s">
        <v>508</v>
      </c>
      <c r="K347" s="6" t="s">
        <v>507</v>
      </c>
      <c r="L347" s="6" t="e">
        <f>VLOOKUP(L346,'IURAN TANAH'!$A$2:$S$145,2,FALSE)</f>
        <v>#N/A</v>
      </c>
    </row>
    <row r="348" spans="2:12" x14ac:dyDescent="0.25">
      <c r="B348" s="5" t="s">
        <v>509</v>
      </c>
      <c r="C348" s="5" t="s">
        <v>507</v>
      </c>
      <c r="D348" s="5" t="e">
        <f>VLOOKUP(D346,'IURAN TANAH'!$A$2:$S$145,3,FALSE) &amp;" " &amp;VLOOKUP(D346,'IURAN TANAH'!$A$2:$S$145,4,FALSE)</f>
        <v>#N/A</v>
      </c>
      <c r="F348" s="5" t="s">
        <v>509</v>
      </c>
      <c r="G348" s="5" t="s">
        <v>507</v>
      </c>
      <c r="H348" s="5" t="e">
        <f>VLOOKUP(H346,'IURAN TANAH'!$A$2:$S$145,3,FALSE) &amp;" " &amp;VLOOKUP(H346,'IURAN TANAH'!$A$2:$S$145,4,FALSE)</f>
        <v>#N/A</v>
      </c>
      <c r="J348" s="5" t="s">
        <v>509</v>
      </c>
      <c r="K348" s="5" t="s">
        <v>507</v>
      </c>
      <c r="L348" s="5" t="e">
        <f>VLOOKUP(L346,'IURAN TANAH'!$A$2:$S$145,3,FALSE) &amp;" " &amp;VLOOKUP(L346,'IURAN TANAH'!$A$2:$S$145,4,FALSE)</f>
        <v>#N/A</v>
      </c>
    </row>
    <row r="349" spans="2:12" x14ac:dyDescent="0.25">
      <c r="B349" s="6"/>
      <c r="C349" s="6"/>
      <c r="D349" s="6"/>
      <c r="F349" s="6"/>
      <c r="G349" s="6"/>
      <c r="H349" s="6"/>
      <c r="J349" s="6"/>
      <c r="K349" s="6"/>
      <c r="L349" s="6"/>
    </row>
    <row r="350" spans="2:12" x14ac:dyDescent="0.25">
      <c r="B350" s="5" t="s">
        <v>510</v>
      </c>
      <c r="C350" s="5"/>
      <c r="D350" s="5"/>
      <c r="F350" s="5" t="s">
        <v>510</v>
      </c>
      <c r="G350" s="5"/>
      <c r="H350" s="5"/>
      <c r="J350" s="5" t="s">
        <v>510</v>
      </c>
      <c r="K350" s="5"/>
      <c r="L350" s="5"/>
    </row>
    <row r="351" spans="2:12" x14ac:dyDescent="0.25">
      <c r="B351" s="6" t="s">
        <v>511</v>
      </c>
      <c r="C351" s="6"/>
      <c r="D351" s="39" t="e">
        <f>VLOOKUP(D346,'IURAN TANAH'!$A$2:$S$145,7,FALSE)</f>
        <v>#N/A</v>
      </c>
      <c r="F351" s="6" t="s">
        <v>511</v>
      </c>
      <c r="G351" s="6"/>
      <c r="H351" s="39" t="e">
        <f>VLOOKUP(H346,'IURAN TANAH'!$A$2:$S$145,7,FALSE)</f>
        <v>#N/A</v>
      </c>
      <c r="J351" s="6" t="s">
        <v>511</v>
      </c>
      <c r="K351" s="6"/>
      <c r="L351" s="39" t="e">
        <f>VLOOKUP(L346,'IURAN TANAH'!$A$2:$S$145,7,FALSE)</f>
        <v>#N/A</v>
      </c>
    </row>
    <row r="352" spans="2:12" x14ac:dyDescent="0.25">
      <c r="B352" s="5" t="s">
        <v>512</v>
      </c>
      <c r="C352" s="5"/>
      <c r="D352" s="40" t="e">
        <f>VLOOKUP(D346,'IURAN TANAH'!$A$2:$S$145,8,FALSE)</f>
        <v>#N/A</v>
      </c>
      <c r="F352" s="5" t="s">
        <v>512</v>
      </c>
      <c r="G352" s="5"/>
      <c r="H352" s="40" t="e">
        <f>VLOOKUP(H346,'IURAN TANAH'!$A$2:$S$145,8,FALSE)</f>
        <v>#N/A</v>
      </c>
      <c r="J352" s="5" t="s">
        <v>512</v>
      </c>
      <c r="K352" s="5"/>
      <c r="L352" s="40" t="e">
        <f>VLOOKUP(L346,'IURAN TANAH'!$A$2:$S$145,8,FALSE)</f>
        <v>#N/A</v>
      </c>
    </row>
    <row r="353" spans="2:12" x14ac:dyDescent="0.25">
      <c r="B353" s="6" t="s">
        <v>513</v>
      </c>
      <c r="C353" s="6"/>
      <c r="D353" s="39" t="e">
        <f>VLOOKUP(D346,'IURAN TANAH'!$A$2:$S$145,9,FALSE)</f>
        <v>#N/A</v>
      </c>
      <c r="F353" s="6" t="s">
        <v>513</v>
      </c>
      <c r="G353" s="6"/>
      <c r="H353" s="39" t="e">
        <f>VLOOKUP(H346,'IURAN TANAH'!$A$2:$S$145,9,FALSE)</f>
        <v>#N/A</v>
      </c>
      <c r="J353" s="6" t="s">
        <v>513</v>
      </c>
      <c r="K353" s="6"/>
      <c r="L353" s="39" t="e">
        <f>VLOOKUP(L346,'IURAN TANAH'!$A$2:$S$145,9,FALSE)</f>
        <v>#N/A</v>
      </c>
    </row>
    <row r="354" spans="2:12" x14ac:dyDescent="0.25">
      <c r="B354" s="5" t="s">
        <v>514</v>
      </c>
      <c r="C354" s="5"/>
      <c r="D354" s="40" t="e">
        <f>VLOOKUP(D346,'IURAN TANAH'!$A$2:$S$145,10,FALSE)</f>
        <v>#N/A</v>
      </c>
      <c r="F354" s="5" t="s">
        <v>514</v>
      </c>
      <c r="G354" s="5"/>
      <c r="H354" s="40" t="e">
        <f>VLOOKUP(H346,'IURAN TANAH'!$A$2:$S$145,10,FALSE)</f>
        <v>#N/A</v>
      </c>
      <c r="J354" s="5" t="s">
        <v>514</v>
      </c>
      <c r="K354" s="5"/>
      <c r="L354" s="40" t="e">
        <f>VLOOKUP(L346,'IURAN TANAH'!$A$2:$S$145,10,FALSE)</f>
        <v>#N/A</v>
      </c>
    </row>
    <row r="355" spans="2:12" x14ac:dyDescent="0.25">
      <c r="B355" s="6" t="s">
        <v>515</v>
      </c>
      <c r="C355" s="6"/>
      <c r="D355" s="39" t="e">
        <f>VLOOKUP(D346,'IURAN TANAH'!$A$2:$S$145,11,FALSE)</f>
        <v>#N/A</v>
      </c>
      <c r="F355" s="6" t="s">
        <v>515</v>
      </c>
      <c r="G355" s="6"/>
      <c r="H355" s="39" t="e">
        <f>VLOOKUP(H346,'IURAN TANAH'!$A$2:$S$145,11,FALSE)</f>
        <v>#N/A</v>
      </c>
      <c r="J355" s="6" t="s">
        <v>515</v>
      </c>
      <c r="K355" s="6"/>
      <c r="L355" s="39" t="e">
        <f>VLOOKUP(L346,'IURAN TANAH'!$A$2:$S$145,11,FALSE)</f>
        <v>#N/A</v>
      </c>
    </row>
    <row r="356" spans="2:12" x14ac:dyDescent="0.25">
      <c r="B356" s="5" t="s">
        <v>516</v>
      </c>
      <c r="C356" s="5"/>
      <c r="D356" s="40" t="e">
        <f>VLOOKUP(D346,'IURAN TANAH'!$A$2:$S$145,12,FALSE)</f>
        <v>#N/A</v>
      </c>
      <c r="F356" s="5" t="s">
        <v>516</v>
      </c>
      <c r="G356" s="5"/>
      <c r="H356" s="40" t="e">
        <f>VLOOKUP(H346,'IURAN TANAH'!$A$2:$S$145,12,FALSE)</f>
        <v>#N/A</v>
      </c>
      <c r="J356" s="5" t="s">
        <v>516</v>
      </c>
      <c r="K356" s="5"/>
      <c r="L356" s="40" t="e">
        <f>VLOOKUP(L346,'IURAN TANAH'!$A$2:$S$145,12,FALSE)</f>
        <v>#N/A</v>
      </c>
    </row>
    <row r="357" spans="2:12" x14ac:dyDescent="0.25">
      <c r="B357" s="6" t="s">
        <v>517</v>
      </c>
      <c r="C357" s="6"/>
      <c r="D357" s="39" t="e">
        <f>VLOOKUP(D346,'IURAN TANAH'!$A$2:$S$145,13,FALSE)</f>
        <v>#N/A</v>
      </c>
      <c r="F357" s="6" t="s">
        <v>517</v>
      </c>
      <c r="G357" s="6"/>
      <c r="H357" s="39" t="e">
        <f>VLOOKUP(H346,'IURAN TANAH'!$A$2:$S$145,13,FALSE)</f>
        <v>#N/A</v>
      </c>
      <c r="J357" s="6" t="s">
        <v>517</v>
      </c>
      <c r="K357" s="6"/>
      <c r="L357" s="39" t="e">
        <f>VLOOKUP(L346,'IURAN TANAH'!$A$2:$S$145,13,FALSE)</f>
        <v>#N/A</v>
      </c>
    </row>
    <row r="358" spans="2:12" x14ac:dyDescent="0.25">
      <c r="B358" s="5" t="s">
        <v>518</v>
      </c>
      <c r="C358" s="5"/>
      <c r="D358" s="40" t="e">
        <f>VLOOKUP(D346,'IURAN TANAH'!$A$2:$S$145,14,FALSE)</f>
        <v>#N/A</v>
      </c>
      <c r="F358" s="5" t="s">
        <v>518</v>
      </c>
      <c r="G358" s="5"/>
      <c r="H358" s="40" t="e">
        <f>VLOOKUP(H346,'IURAN TANAH'!$A$2:$S$145,14,FALSE)</f>
        <v>#N/A</v>
      </c>
      <c r="J358" s="5" t="s">
        <v>518</v>
      </c>
      <c r="K358" s="5"/>
      <c r="L358" s="40" t="e">
        <f>VLOOKUP(L346,'IURAN TANAH'!$A$2:$S$145,14,FALSE)</f>
        <v>#N/A</v>
      </c>
    </row>
    <row r="359" spans="2:12" x14ac:dyDescent="0.25">
      <c r="B359" s="6" t="s">
        <v>519</v>
      </c>
      <c r="C359" s="6"/>
      <c r="D359" s="39" t="e">
        <f>VLOOKUP(D346,'IURAN TANAH'!$A$2:$S$145,15,FALSE)</f>
        <v>#N/A</v>
      </c>
      <c r="F359" s="6" t="s">
        <v>519</v>
      </c>
      <c r="G359" s="6"/>
      <c r="H359" s="39" t="e">
        <f>VLOOKUP(H346,'IURAN TANAH'!$A$2:$S$145,15,FALSE)</f>
        <v>#N/A</v>
      </c>
      <c r="J359" s="6" t="s">
        <v>519</v>
      </c>
      <c r="K359" s="6"/>
      <c r="L359" s="39" t="e">
        <f>VLOOKUP(L346,'IURAN TANAH'!$A$2:$S$145,15,FALSE)</f>
        <v>#N/A</v>
      </c>
    </row>
    <row r="360" spans="2:12" x14ac:dyDescent="0.25">
      <c r="B360" s="5" t="s">
        <v>520</v>
      </c>
      <c r="C360" s="5"/>
      <c r="D360" s="40" t="e">
        <f>VLOOKUP(D346,'IURAN TANAH'!$A$2:$S$145,16,FALSE)</f>
        <v>#N/A</v>
      </c>
      <c r="F360" s="5" t="s">
        <v>520</v>
      </c>
      <c r="G360" s="5"/>
      <c r="H360" s="40" t="e">
        <f>VLOOKUP(H346,'IURAN TANAH'!$A$2:$S$145,16,FALSE)</f>
        <v>#N/A</v>
      </c>
      <c r="J360" s="5" t="s">
        <v>520</v>
      </c>
      <c r="K360" s="5"/>
      <c r="L360" s="40" t="e">
        <f>VLOOKUP(L346,'IURAN TANAH'!$A$2:$S$145,16,FALSE)</f>
        <v>#N/A</v>
      </c>
    </row>
    <row r="361" spans="2:12" ht="18.75" customHeight="1" x14ac:dyDescent="0.3">
      <c r="B361" s="7" t="s">
        <v>21</v>
      </c>
      <c r="C361" s="7"/>
      <c r="D361" s="41" t="e">
        <f>SUM(D351:D360)</f>
        <v>#N/A</v>
      </c>
      <c r="F361" s="7" t="s">
        <v>21</v>
      </c>
      <c r="G361" s="7"/>
      <c r="H361" s="41" t="e">
        <f>SUM(H351:H360)</f>
        <v>#N/A</v>
      </c>
      <c r="J361" s="7" t="s">
        <v>21</v>
      </c>
      <c r="K361" s="7"/>
      <c r="L361" s="41" t="e">
        <f>SUM(L351:L360)</f>
        <v>#N/A</v>
      </c>
    </row>
    <row r="362" spans="2:12" x14ac:dyDescent="0.25">
      <c r="B362" s="5"/>
      <c r="C362" s="5"/>
      <c r="D362" s="5"/>
      <c r="F362" s="5"/>
      <c r="G362" s="5"/>
      <c r="H362" s="5"/>
      <c r="J362" s="5"/>
      <c r="K362" s="5"/>
      <c r="L362" s="5"/>
    </row>
    <row r="364" spans="2:12" x14ac:dyDescent="0.25">
      <c r="B364" s="5" t="s">
        <v>2</v>
      </c>
      <c r="C364" s="5" t="s">
        <v>507</v>
      </c>
      <c r="D364" s="5">
        <v>61</v>
      </c>
      <c r="F364" s="5" t="s">
        <v>2</v>
      </c>
      <c r="G364" s="5" t="s">
        <v>507</v>
      </c>
      <c r="H364" s="5">
        <v>62</v>
      </c>
      <c r="J364" s="5" t="s">
        <v>2</v>
      </c>
      <c r="K364" s="5" t="s">
        <v>507</v>
      </c>
      <c r="L364" s="5">
        <v>63</v>
      </c>
    </row>
    <row r="365" spans="2:12" x14ac:dyDescent="0.25">
      <c r="B365" s="6" t="s">
        <v>508</v>
      </c>
      <c r="C365" s="6" t="s">
        <v>507</v>
      </c>
      <c r="D365" s="6" t="e">
        <f>VLOOKUP(D364,'IURAN TANAH'!$A$2:$S$145,2,FALSE)</f>
        <v>#N/A</v>
      </c>
      <c r="F365" s="6" t="s">
        <v>508</v>
      </c>
      <c r="G365" s="6" t="s">
        <v>507</v>
      </c>
      <c r="H365" s="6" t="e">
        <f>VLOOKUP(H364,'IURAN TANAH'!$A$2:$S$145,2,FALSE)</f>
        <v>#N/A</v>
      </c>
      <c r="J365" s="6" t="s">
        <v>508</v>
      </c>
      <c r="K365" s="6" t="s">
        <v>507</v>
      </c>
      <c r="L365" s="6" t="e">
        <f>VLOOKUP(L364,'IURAN TANAH'!$A$2:$S$145,2,FALSE)</f>
        <v>#N/A</v>
      </c>
    </row>
    <row r="366" spans="2:12" x14ac:dyDescent="0.25">
      <c r="B366" s="5" t="s">
        <v>509</v>
      </c>
      <c r="C366" s="5" t="s">
        <v>507</v>
      </c>
      <c r="D366" s="5" t="e">
        <f>VLOOKUP(D364,'IURAN TANAH'!$A$2:$S$145,3,FALSE) &amp;" " &amp;VLOOKUP(D364,'IURAN TANAH'!$A$2:$S$145,4,FALSE)</f>
        <v>#N/A</v>
      </c>
      <c r="F366" s="5" t="s">
        <v>509</v>
      </c>
      <c r="G366" s="5" t="s">
        <v>507</v>
      </c>
      <c r="H366" s="5" t="e">
        <f>VLOOKUP(H364,'IURAN TANAH'!$A$2:$S$145,3,FALSE) &amp;" " &amp;VLOOKUP(H364,'IURAN TANAH'!$A$2:$S$145,4,FALSE)</f>
        <v>#N/A</v>
      </c>
      <c r="J366" s="5" t="s">
        <v>509</v>
      </c>
      <c r="K366" s="5" t="s">
        <v>507</v>
      </c>
      <c r="L366" s="5" t="e">
        <f>VLOOKUP(L364,'IURAN TANAH'!$A$2:$S$145,3,FALSE) &amp;" " &amp;VLOOKUP(L364,'IURAN TANAH'!$A$2:$S$145,4,FALSE)</f>
        <v>#N/A</v>
      </c>
    </row>
    <row r="367" spans="2:12" x14ac:dyDescent="0.25">
      <c r="B367" s="6"/>
      <c r="C367" s="6"/>
      <c r="D367" s="6"/>
      <c r="F367" s="6"/>
      <c r="G367" s="6"/>
      <c r="H367" s="6"/>
      <c r="J367" s="6"/>
      <c r="K367" s="6"/>
      <c r="L367" s="6"/>
    </row>
    <row r="368" spans="2:12" x14ac:dyDescent="0.25">
      <c r="B368" s="5" t="s">
        <v>510</v>
      </c>
      <c r="C368" s="5"/>
      <c r="D368" s="5"/>
      <c r="F368" s="5" t="s">
        <v>510</v>
      </c>
      <c r="G368" s="5"/>
      <c r="H368" s="5"/>
      <c r="J368" s="5" t="s">
        <v>510</v>
      </c>
      <c r="K368" s="5"/>
      <c r="L368" s="5"/>
    </row>
    <row r="369" spans="2:12" x14ac:dyDescent="0.25">
      <c r="B369" s="6" t="s">
        <v>511</v>
      </c>
      <c r="C369" s="6"/>
      <c r="D369" s="39" t="e">
        <f>VLOOKUP(D364,'IURAN TANAH'!$A$2:$S$145,7,FALSE)</f>
        <v>#N/A</v>
      </c>
      <c r="F369" s="6" t="s">
        <v>511</v>
      </c>
      <c r="G369" s="6"/>
      <c r="H369" s="39" t="e">
        <f>VLOOKUP(H364,'IURAN TANAH'!$A$2:$S$145,7,FALSE)</f>
        <v>#N/A</v>
      </c>
      <c r="J369" s="6" t="s">
        <v>511</v>
      </c>
      <c r="K369" s="6"/>
      <c r="L369" s="39" t="e">
        <f>VLOOKUP(L364,'IURAN TANAH'!$A$2:$S$145,7,FALSE)</f>
        <v>#N/A</v>
      </c>
    </row>
    <row r="370" spans="2:12" x14ac:dyDescent="0.25">
      <c r="B370" s="5" t="s">
        <v>512</v>
      </c>
      <c r="C370" s="5"/>
      <c r="D370" s="40" t="e">
        <f>VLOOKUP(D364,'IURAN TANAH'!$A$2:$S$145,8,FALSE)</f>
        <v>#N/A</v>
      </c>
      <c r="F370" s="5" t="s">
        <v>512</v>
      </c>
      <c r="G370" s="5"/>
      <c r="H370" s="40" t="e">
        <f>VLOOKUP(H364,'IURAN TANAH'!$A$2:$S$145,8,FALSE)</f>
        <v>#N/A</v>
      </c>
      <c r="J370" s="5" t="s">
        <v>512</v>
      </c>
      <c r="K370" s="5"/>
      <c r="L370" s="40" t="e">
        <f>VLOOKUP(L364,'IURAN TANAH'!$A$2:$S$145,8,FALSE)</f>
        <v>#N/A</v>
      </c>
    </row>
    <row r="371" spans="2:12" x14ac:dyDescent="0.25">
      <c r="B371" s="6" t="s">
        <v>513</v>
      </c>
      <c r="C371" s="6"/>
      <c r="D371" s="39" t="e">
        <f>VLOOKUP(D364,'IURAN TANAH'!$A$2:$S$145,9,FALSE)</f>
        <v>#N/A</v>
      </c>
      <c r="F371" s="6" t="s">
        <v>513</v>
      </c>
      <c r="G371" s="6"/>
      <c r="H371" s="39" t="e">
        <f>VLOOKUP(H364,'IURAN TANAH'!$A$2:$S$145,9,FALSE)</f>
        <v>#N/A</v>
      </c>
      <c r="J371" s="6" t="s">
        <v>513</v>
      </c>
      <c r="K371" s="6"/>
      <c r="L371" s="39" t="e">
        <f>VLOOKUP(L364,'IURAN TANAH'!$A$2:$S$145,9,FALSE)</f>
        <v>#N/A</v>
      </c>
    </row>
    <row r="372" spans="2:12" x14ac:dyDescent="0.25">
      <c r="B372" s="5" t="s">
        <v>514</v>
      </c>
      <c r="C372" s="5"/>
      <c r="D372" s="40" t="e">
        <f>VLOOKUP(D364,'IURAN TANAH'!$A$2:$S$145,10,FALSE)</f>
        <v>#N/A</v>
      </c>
      <c r="F372" s="5" t="s">
        <v>514</v>
      </c>
      <c r="G372" s="5"/>
      <c r="H372" s="40" t="e">
        <f>VLOOKUP(H364,'IURAN TANAH'!$A$2:$S$145,10,FALSE)</f>
        <v>#N/A</v>
      </c>
      <c r="J372" s="5" t="s">
        <v>514</v>
      </c>
      <c r="K372" s="5"/>
      <c r="L372" s="40" t="e">
        <f>VLOOKUP(L364,'IURAN TANAH'!$A$2:$S$145,10,FALSE)</f>
        <v>#N/A</v>
      </c>
    </row>
    <row r="373" spans="2:12" x14ac:dyDescent="0.25">
      <c r="B373" s="6" t="s">
        <v>515</v>
      </c>
      <c r="C373" s="6"/>
      <c r="D373" s="39" t="e">
        <f>VLOOKUP(D364,'IURAN TANAH'!$A$2:$S$145,11,FALSE)</f>
        <v>#N/A</v>
      </c>
      <c r="F373" s="6" t="s">
        <v>515</v>
      </c>
      <c r="G373" s="6"/>
      <c r="H373" s="39" t="e">
        <f>VLOOKUP(H364,'IURAN TANAH'!$A$2:$S$145,11,FALSE)</f>
        <v>#N/A</v>
      </c>
      <c r="J373" s="6" t="s">
        <v>515</v>
      </c>
      <c r="K373" s="6"/>
      <c r="L373" s="39" t="e">
        <f>VLOOKUP(L364,'IURAN TANAH'!$A$2:$S$145,11,FALSE)</f>
        <v>#N/A</v>
      </c>
    </row>
    <row r="374" spans="2:12" x14ac:dyDescent="0.25">
      <c r="B374" s="5" t="s">
        <v>516</v>
      </c>
      <c r="C374" s="5"/>
      <c r="D374" s="40" t="e">
        <f>VLOOKUP(D364,'IURAN TANAH'!$A$2:$S$145,12,FALSE)</f>
        <v>#N/A</v>
      </c>
      <c r="F374" s="5" t="s">
        <v>516</v>
      </c>
      <c r="G374" s="5"/>
      <c r="H374" s="40" t="e">
        <f>VLOOKUP(H364,'IURAN TANAH'!$A$2:$S$145,12,FALSE)</f>
        <v>#N/A</v>
      </c>
      <c r="J374" s="5" t="s">
        <v>516</v>
      </c>
      <c r="K374" s="5"/>
      <c r="L374" s="40" t="e">
        <f>VLOOKUP(L364,'IURAN TANAH'!$A$2:$S$145,12,FALSE)</f>
        <v>#N/A</v>
      </c>
    </row>
    <row r="375" spans="2:12" x14ac:dyDescent="0.25">
      <c r="B375" s="6" t="s">
        <v>517</v>
      </c>
      <c r="C375" s="6"/>
      <c r="D375" s="39" t="e">
        <f>VLOOKUP(D364,'IURAN TANAH'!$A$2:$S$145,13,FALSE)</f>
        <v>#N/A</v>
      </c>
      <c r="F375" s="6" t="s">
        <v>517</v>
      </c>
      <c r="G375" s="6"/>
      <c r="H375" s="39" t="e">
        <f>VLOOKUP(H364,'IURAN TANAH'!$A$2:$S$145,13,FALSE)</f>
        <v>#N/A</v>
      </c>
      <c r="J375" s="6" t="s">
        <v>517</v>
      </c>
      <c r="K375" s="6"/>
      <c r="L375" s="39" t="e">
        <f>VLOOKUP(L364,'IURAN TANAH'!$A$2:$S$145,13,FALSE)</f>
        <v>#N/A</v>
      </c>
    </row>
    <row r="376" spans="2:12" x14ac:dyDescent="0.25">
      <c r="B376" s="5" t="s">
        <v>518</v>
      </c>
      <c r="C376" s="5"/>
      <c r="D376" s="40" t="e">
        <f>VLOOKUP(D364,'IURAN TANAH'!$A$2:$S$145,14,FALSE)</f>
        <v>#N/A</v>
      </c>
      <c r="F376" s="5" t="s">
        <v>518</v>
      </c>
      <c r="G376" s="5"/>
      <c r="H376" s="40" t="e">
        <f>VLOOKUP(H364,'IURAN TANAH'!$A$2:$S$145,14,FALSE)</f>
        <v>#N/A</v>
      </c>
      <c r="J376" s="5" t="s">
        <v>518</v>
      </c>
      <c r="K376" s="5"/>
      <c r="L376" s="40" t="e">
        <f>VLOOKUP(L364,'IURAN TANAH'!$A$2:$S$145,14,FALSE)</f>
        <v>#N/A</v>
      </c>
    </row>
    <row r="377" spans="2:12" x14ac:dyDescent="0.25">
      <c r="B377" s="6" t="s">
        <v>519</v>
      </c>
      <c r="C377" s="6"/>
      <c r="D377" s="39" t="e">
        <f>VLOOKUP(D364,'IURAN TANAH'!$A$2:$S$145,15,FALSE)</f>
        <v>#N/A</v>
      </c>
      <c r="F377" s="6" t="s">
        <v>519</v>
      </c>
      <c r="G377" s="6"/>
      <c r="H377" s="39" t="e">
        <f>VLOOKUP(H364,'IURAN TANAH'!$A$2:$S$145,15,FALSE)</f>
        <v>#N/A</v>
      </c>
      <c r="J377" s="6" t="s">
        <v>519</v>
      </c>
      <c r="K377" s="6"/>
      <c r="L377" s="39" t="e">
        <f>VLOOKUP(L364,'IURAN TANAH'!$A$2:$S$145,15,FALSE)</f>
        <v>#N/A</v>
      </c>
    </row>
    <row r="378" spans="2:12" x14ac:dyDescent="0.25">
      <c r="B378" s="5" t="s">
        <v>520</v>
      </c>
      <c r="C378" s="5"/>
      <c r="D378" s="40" t="e">
        <f>VLOOKUP(D364,'IURAN TANAH'!$A$2:$S$145,16,FALSE)</f>
        <v>#N/A</v>
      </c>
      <c r="F378" s="5" t="s">
        <v>520</v>
      </c>
      <c r="G378" s="5"/>
      <c r="H378" s="40" t="e">
        <f>VLOOKUP(H364,'IURAN TANAH'!$A$2:$S$145,16,FALSE)</f>
        <v>#N/A</v>
      </c>
      <c r="J378" s="5" t="s">
        <v>520</v>
      </c>
      <c r="K378" s="5"/>
      <c r="L378" s="40" t="e">
        <f>VLOOKUP(L364,'IURAN TANAH'!$A$2:$S$145,16,FALSE)</f>
        <v>#N/A</v>
      </c>
    </row>
    <row r="379" spans="2:12" ht="18.75" customHeight="1" x14ac:dyDescent="0.3">
      <c r="B379" s="7" t="s">
        <v>21</v>
      </c>
      <c r="C379" s="7"/>
      <c r="D379" s="41" t="e">
        <f>SUM(D369:D378)</f>
        <v>#N/A</v>
      </c>
      <c r="F379" s="7" t="s">
        <v>21</v>
      </c>
      <c r="G379" s="7"/>
      <c r="H379" s="41" t="e">
        <f>SUM(H369:H378)</f>
        <v>#N/A</v>
      </c>
      <c r="J379" s="7" t="s">
        <v>21</v>
      </c>
      <c r="K379" s="7"/>
      <c r="L379" s="41" t="e">
        <f>SUM(L369:L378)</f>
        <v>#N/A</v>
      </c>
    </row>
    <row r="380" spans="2:12" x14ac:dyDescent="0.25">
      <c r="B380" s="5"/>
      <c r="C380" s="5"/>
      <c r="D380" s="5"/>
      <c r="F380" s="5"/>
      <c r="G380" s="5"/>
      <c r="H380" s="5"/>
      <c r="J380" s="5"/>
      <c r="K380" s="5"/>
      <c r="L380" s="5"/>
    </row>
    <row r="382" spans="2:12" x14ac:dyDescent="0.25">
      <c r="B382" s="5" t="s">
        <v>2</v>
      </c>
      <c r="C382" s="5" t="s">
        <v>507</v>
      </c>
      <c r="D382" s="5">
        <v>64</v>
      </c>
      <c r="F382" s="5" t="s">
        <v>2</v>
      </c>
      <c r="G382" s="5" t="s">
        <v>507</v>
      </c>
      <c r="H382" s="5">
        <v>65</v>
      </c>
      <c r="J382" s="5" t="s">
        <v>2</v>
      </c>
      <c r="K382" s="5" t="s">
        <v>507</v>
      </c>
      <c r="L382" s="5">
        <v>66</v>
      </c>
    </row>
    <row r="383" spans="2:12" x14ac:dyDescent="0.25">
      <c r="B383" s="6" t="s">
        <v>508</v>
      </c>
      <c r="C383" s="6" t="s">
        <v>507</v>
      </c>
      <c r="D383" s="6" t="e">
        <f>VLOOKUP(D382,'IURAN TANAH'!$A$2:$S$145,2,FALSE)</f>
        <v>#N/A</v>
      </c>
      <c r="F383" s="6" t="s">
        <v>508</v>
      </c>
      <c r="G383" s="6" t="s">
        <v>507</v>
      </c>
      <c r="H383" s="6" t="e">
        <f>VLOOKUP(H382,'IURAN TANAH'!$A$2:$S$145,2,FALSE)</f>
        <v>#N/A</v>
      </c>
      <c r="J383" s="6" t="s">
        <v>508</v>
      </c>
      <c r="K383" s="6" t="s">
        <v>507</v>
      </c>
      <c r="L383" s="6" t="e">
        <f>VLOOKUP(L382,'IURAN TANAH'!$A$2:$S$145,2,FALSE)</f>
        <v>#N/A</v>
      </c>
    </row>
    <row r="384" spans="2:12" x14ac:dyDescent="0.25">
      <c r="B384" s="5" t="s">
        <v>509</v>
      </c>
      <c r="C384" s="5" t="s">
        <v>507</v>
      </c>
      <c r="D384" s="5" t="e">
        <f>VLOOKUP(D382,'IURAN TANAH'!$A$2:$S$145,3,FALSE) &amp;" " &amp;VLOOKUP(D382,'IURAN TANAH'!$A$2:$S$145,4,FALSE)</f>
        <v>#N/A</v>
      </c>
      <c r="F384" s="5" t="s">
        <v>509</v>
      </c>
      <c r="G384" s="5" t="s">
        <v>507</v>
      </c>
      <c r="H384" s="5" t="e">
        <f>VLOOKUP(H382,'IURAN TANAH'!$A$2:$S$145,3,FALSE) &amp;" " &amp;VLOOKUP(H382,'IURAN TANAH'!$A$2:$S$145,4,FALSE)</f>
        <v>#N/A</v>
      </c>
      <c r="J384" s="5" t="s">
        <v>509</v>
      </c>
      <c r="K384" s="5" t="s">
        <v>507</v>
      </c>
      <c r="L384" s="5" t="e">
        <f>VLOOKUP(L382,'IURAN TANAH'!$A$2:$S$145,3,FALSE) &amp;" " &amp;VLOOKUP(L382,'IURAN TANAH'!$A$2:$S$145,4,FALSE)</f>
        <v>#N/A</v>
      </c>
    </row>
    <row r="385" spans="2:12" x14ac:dyDescent="0.25">
      <c r="B385" s="6"/>
      <c r="C385" s="6"/>
      <c r="D385" s="6"/>
      <c r="F385" s="6"/>
      <c r="G385" s="6"/>
      <c r="H385" s="6"/>
      <c r="J385" s="6"/>
      <c r="K385" s="6"/>
      <c r="L385" s="6"/>
    </row>
    <row r="386" spans="2:12" x14ac:dyDescent="0.25">
      <c r="B386" s="5" t="s">
        <v>510</v>
      </c>
      <c r="C386" s="5"/>
      <c r="D386" s="5"/>
      <c r="F386" s="5" t="s">
        <v>510</v>
      </c>
      <c r="G386" s="5"/>
      <c r="H386" s="5"/>
      <c r="J386" s="5" t="s">
        <v>510</v>
      </c>
      <c r="K386" s="5"/>
      <c r="L386" s="5"/>
    </row>
    <row r="387" spans="2:12" x14ac:dyDescent="0.25">
      <c r="B387" s="6" t="s">
        <v>511</v>
      </c>
      <c r="C387" s="6"/>
      <c r="D387" s="39" t="e">
        <f>VLOOKUP(D382,'IURAN TANAH'!$A$2:$S$145,7,FALSE)</f>
        <v>#N/A</v>
      </c>
      <c r="F387" s="6" t="s">
        <v>511</v>
      </c>
      <c r="G387" s="6"/>
      <c r="H387" s="39" t="e">
        <f>VLOOKUP(H382,'IURAN TANAH'!$A$2:$S$145,7,FALSE)</f>
        <v>#N/A</v>
      </c>
      <c r="J387" s="6" t="s">
        <v>511</v>
      </c>
      <c r="K387" s="6"/>
      <c r="L387" s="39" t="e">
        <f>VLOOKUP(L382,'IURAN TANAH'!$A$2:$S$145,7,FALSE)</f>
        <v>#N/A</v>
      </c>
    </row>
    <row r="388" spans="2:12" x14ac:dyDescent="0.25">
      <c r="B388" s="5" t="s">
        <v>512</v>
      </c>
      <c r="C388" s="5"/>
      <c r="D388" s="40" t="e">
        <f>VLOOKUP(D382,'IURAN TANAH'!$A$2:$S$145,8,FALSE)</f>
        <v>#N/A</v>
      </c>
      <c r="F388" s="5" t="s">
        <v>512</v>
      </c>
      <c r="G388" s="5"/>
      <c r="H388" s="40" t="e">
        <f>VLOOKUP(H382,'IURAN TANAH'!$A$2:$S$145,8,FALSE)</f>
        <v>#N/A</v>
      </c>
      <c r="J388" s="5" t="s">
        <v>512</v>
      </c>
      <c r="K388" s="5"/>
      <c r="L388" s="40" t="e">
        <f>VLOOKUP(L382,'IURAN TANAH'!$A$2:$S$145,8,FALSE)</f>
        <v>#N/A</v>
      </c>
    </row>
    <row r="389" spans="2:12" x14ac:dyDescent="0.25">
      <c r="B389" s="6" t="s">
        <v>513</v>
      </c>
      <c r="C389" s="6"/>
      <c r="D389" s="39" t="e">
        <f>VLOOKUP(D382,'IURAN TANAH'!$A$2:$S$145,9,FALSE)</f>
        <v>#N/A</v>
      </c>
      <c r="F389" s="6" t="s">
        <v>513</v>
      </c>
      <c r="G389" s="6"/>
      <c r="H389" s="39" t="e">
        <f>VLOOKUP(H382,'IURAN TANAH'!$A$2:$S$145,9,FALSE)</f>
        <v>#N/A</v>
      </c>
      <c r="J389" s="6" t="s">
        <v>513</v>
      </c>
      <c r="K389" s="6"/>
      <c r="L389" s="39" t="e">
        <f>VLOOKUP(L382,'IURAN TANAH'!$A$2:$S$145,9,FALSE)</f>
        <v>#N/A</v>
      </c>
    </row>
    <row r="390" spans="2:12" x14ac:dyDescent="0.25">
      <c r="B390" s="5" t="s">
        <v>514</v>
      </c>
      <c r="C390" s="5"/>
      <c r="D390" s="40" t="e">
        <f>VLOOKUP(D382,'IURAN TANAH'!$A$2:$S$145,10,FALSE)</f>
        <v>#N/A</v>
      </c>
      <c r="F390" s="5" t="s">
        <v>514</v>
      </c>
      <c r="G390" s="5"/>
      <c r="H390" s="40" t="e">
        <f>VLOOKUP(H382,'IURAN TANAH'!$A$2:$S$145,10,FALSE)</f>
        <v>#N/A</v>
      </c>
      <c r="J390" s="5" t="s">
        <v>514</v>
      </c>
      <c r="K390" s="5"/>
      <c r="L390" s="40" t="e">
        <f>VLOOKUP(L382,'IURAN TANAH'!$A$2:$S$145,10,FALSE)</f>
        <v>#N/A</v>
      </c>
    </row>
    <row r="391" spans="2:12" x14ac:dyDescent="0.25">
      <c r="B391" s="6" t="s">
        <v>515</v>
      </c>
      <c r="C391" s="6"/>
      <c r="D391" s="39" t="e">
        <f>VLOOKUP(D382,'IURAN TANAH'!$A$2:$S$145,11,FALSE)</f>
        <v>#N/A</v>
      </c>
      <c r="F391" s="6" t="s">
        <v>515</v>
      </c>
      <c r="G391" s="6"/>
      <c r="H391" s="39" t="e">
        <f>VLOOKUP(H382,'IURAN TANAH'!$A$2:$S$145,11,FALSE)</f>
        <v>#N/A</v>
      </c>
      <c r="J391" s="6" t="s">
        <v>515</v>
      </c>
      <c r="K391" s="6"/>
      <c r="L391" s="39" t="e">
        <f>VLOOKUP(L382,'IURAN TANAH'!$A$2:$S$145,11,FALSE)</f>
        <v>#N/A</v>
      </c>
    </row>
    <row r="392" spans="2:12" x14ac:dyDescent="0.25">
      <c r="B392" s="5" t="s">
        <v>516</v>
      </c>
      <c r="C392" s="5"/>
      <c r="D392" s="40" t="e">
        <f>VLOOKUP(D382,'IURAN TANAH'!$A$2:$S$145,12,FALSE)</f>
        <v>#N/A</v>
      </c>
      <c r="F392" s="5" t="s">
        <v>516</v>
      </c>
      <c r="G392" s="5"/>
      <c r="H392" s="40" t="e">
        <f>VLOOKUP(H382,'IURAN TANAH'!$A$2:$S$145,12,FALSE)</f>
        <v>#N/A</v>
      </c>
      <c r="J392" s="5" t="s">
        <v>516</v>
      </c>
      <c r="K392" s="5"/>
      <c r="L392" s="40" t="e">
        <f>VLOOKUP(L382,'IURAN TANAH'!$A$2:$S$145,12,FALSE)</f>
        <v>#N/A</v>
      </c>
    </row>
    <row r="393" spans="2:12" x14ac:dyDescent="0.25">
      <c r="B393" s="6" t="s">
        <v>517</v>
      </c>
      <c r="C393" s="6"/>
      <c r="D393" s="39" t="e">
        <f>VLOOKUP(D382,'IURAN TANAH'!$A$2:$S$145,13,FALSE)</f>
        <v>#N/A</v>
      </c>
      <c r="F393" s="6" t="s">
        <v>517</v>
      </c>
      <c r="G393" s="6"/>
      <c r="H393" s="39" t="e">
        <f>VLOOKUP(H382,'IURAN TANAH'!$A$2:$S$145,13,FALSE)</f>
        <v>#N/A</v>
      </c>
      <c r="J393" s="6" t="s">
        <v>517</v>
      </c>
      <c r="K393" s="6"/>
      <c r="L393" s="39" t="e">
        <f>VLOOKUP(L382,'IURAN TANAH'!$A$2:$S$145,13,FALSE)</f>
        <v>#N/A</v>
      </c>
    </row>
    <row r="394" spans="2:12" x14ac:dyDescent="0.25">
      <c r="B394" s="5" t="s">
        <v>518</v>
      </c>
      <c r="C394" s="5"/>
      <c r="D394" s="40" t="e">
        <f>VLOOKUP(D382,'IURAN TANAH'!$A$2:$S$145,14,FALSE)</f>
        <v>#N/A</v>
      </c>
      <c r="F394" s="5" t="s">
        <v>518</v>
      </c>
      <c r="G394" s="5"/>
      <c r="H394" s="40" t="e">
        <f>VLOOKUP(H382,'IURAN TANAH'!$A$2:$S$145,14,FALSE)</f>
        <v>#N/A</v>
      </c>
      <c r="J394" s="5" t="s">
        <v>518</v>
      </c>
      <c r="K394" s="5"/>
      <c r="L394" s="40" t="e">
        <f>VLOOKUP(L382,'IURAN TANAH'!$A$2:$S$145,14,FALSE)</f>
        <v>#N/A</v>
      </c>
    </row>
    <row r="395" spans="2:12" x14ac:dyDescent="0.25">
      <c r="B395" s="6" t="s">
        <v>519</v>
      </c>
      <c r="C395" s="6"/>
      <c r="D395" s="39" t="e">
        <f>VLOOKUP(D382,'IURAN TANAH'!$A$2:$S$145,15,FALSE)</f>
        <v>#N/A</v>
      </c>
      <c r="F395" s="6" t="s">
        <v>519</v>
      </c>
      <c r="G395" s="6"/>
      <c r="H395" s="39" t="e">
        <f>VLOOKUP(H382,'IURAN TANAH'!$A$2:$S$145,15,FALSE)</f>
        <v>#N/A</v>
      </c>
      <c r="J395" s="6" t="s">
        <v>519</v>
      </c>
      <c r="K395" s="6"/>
      <c r="L395" s="39" t="e">
        <f>VLOOKUP(L382,'IURAN TANAH'!$A$2:$S$145,15,FALSE)</f>
        <v>#N/A</v>
      </c>
    </row>
    <row r="396" spans="2:12" x14ac:dyDescent="0.25">
      <c r="B396" s="5" t="s">
        <v>520</v>
      </c>
      <c r="C396" s="5"/>
      <c r="D396" s="40" t="e">
        <f>VLOOKUP(D382,'IURAN TANAH'!$A$2:$S$145,16,FALSE)</f>
        <v>#N/A</v>
      </c>
      <c r="F396" s="5" t="s">
        <v>520</v>
      </c>
      <c r="G396" s="5"/>
      <c r="H396" s="40" t="e">
        <f>VLOOKUP(H382,'IURAN TANAH'!$A$2:$S$145,16,FALSE)</f>
        <v>#N/A</v>
      </c>
      <c r="J396" s="5" t="s">
        <v>520</v>
      </c>
      <c r="K396" s="5"/>
      <c r="L396" s="40" t="e">
        <f>VLOOKUP(L382,'IURAN TANAH'!$A$2:$S$145,16,FALSE)</f>
        <v>#N/A</v>
      </c>
    </row>
    <row r="397" spans="2:12" ht="18.75" customHeight="1" x14ac:dyDescent="0.3">
      <c r="B397" s="7" t="s">
        <v>21</v>
      </c>
      <c r="C397" s="7"/>
      <c r="D397" s="41" t="e">
        <f>SUM(D387:D396)</f>
        <v>#N/A</v>
      </c>
      <c r="F397" s="7" t="s">
        <v>21</v>
      </c>
      <c r="G397" s="7"/>
      <c r="H397" s="41" t="e">
        <f>SUM(H387:H396)</f>
        <v>#N/A</v>
      </c>
      <c r="J397" s="7" t="s">
        <v>21</v>
      </c>
      <c r="K397" s="7"/>
      <c r="L397" s="41" t="e">
        <f>SUM(L387:L396)</f>
        <v>#N/A</v>
      </c>
    </row>
    <row r="398" spans="2:12" x14ac:dyDescent="0.25">
      <c r="B398" s="5"/>
      <c r="C398" s="5"/>
      <c r="D398" s="5"/>
      <c r="F398" s="5"/>
      <c r="G398" s="5"/>
      <c r="H398" s="5"/>
      <c r="J398" s="5"/>
      <c r="K398" s="5"/>
      <c r="L398" s="5"/>
    </row>
    <row r="400" spans="2:12" x14ac:dyDescent="0.25">
      <c r="B400" s="5" t="s">
        <v>2</v>
      </c>
      <c r="C400" s="5" t="s">
        <v>507</v>
      </c>
      <c r="D400" s="5">
        <v>67</v>
      </c>
      <c r="F400" s="5" t="s">
        <v>2</v>
      </c>
      <c r="G400" s="5" t="s">
        <v>507</v>
      </c>
      <c r="H400" s="5">
        <v>68</v>
      </c>
      <c r="J400" s="5" t="s">
        <v>2</v>
      </c>
      <c r="K400" s="5" t="s">
        <v>507</v>
      </c>
      <c r="L400" s="5">
        <v>69</v>
      </c>
    </row>
    <row r="401" spans="2:12" x14ac:dyDescent="0.25">
      <c r="B401" s="6" t="s">
        <v>508</v>
      </c>
      <c r="C401" s="6" t="s">
        <v>507</v>
      </c>
      <c r="D401" s="6" t="e">
        <f>VLOOKUP(D400,'IURAN TANAH'!$A$2:$S$145,2,FALSE)</f>
        <v>#N/A</v>
      </c>
      <c r="F401" s="6" t="s">
        <v>508</v>
      </c>
      <c r="G401" s="6" t="s">
        <v>507</v>
      </c>
      <c r="H401" s="6" t="e">
        <f>VLOOKUP(H400,'IURAN TANAH'!$A$2:$S$145,2,FALSE)</f>
        <v>#N/A</v>
      </c>
      <c r="J401" s="6" t="s">
        <v>508</v>
      </c>
      <c r="K401" s="6" t="s">
        <v>507</v>
      </c>
      <c r="L401" s="6" t="e">
        <f>VLOOKUP(L400,'IURAN TANAH'!$A$2:$S$145,2,FALSE)</f>
        <v>#N/A</v>
      </c>
    </row>
    <row r="402" spans="2:12" x14ac:dyDescent="0.25">
      <c r="B402" s="5" t="s">
        <v>509</v>
      </c>
      <c r="C402" s="5" t="s">
        <v>507</v>
      </c>
      <c r="D402" s="5" t="e">
        <f>VLOOKUP(D400,'IURAN TANAH'!$A$2:$S$145,3,FALSE) &amp;" " &amp;VLOOKUP(D400,'IURAN TANAH'!$A$2:$S$145,4,FALSE)</f>
        <v>#N/A</v>
      </c>
      <c r="F402" s="5" t="s">
        <v>509</v>
      </c>
      <c r="G402" s="5" t="s">
        <v>507</v>
      </c>
      <c r="H402" s="5" t="e">
        <f>VLOOKUP(H400,'IURAN TANAH'!$A$2:$S$145,3,FALSE) &amp;" " &amp;VLOOKUP(H400,'IURAN TANAH'!$A$2:$S$145,4,FALSE)</f>
        <v>#N/A</v>
      </c>
      <c r="J402" s="5" t="s">
        <v>509</v>
      </c>
      <c r="K402" s="5" t="s">
        <v>507</v>
      </c>
      <c r="L402" s="5" t="e">
        <f>VLOOKUP(L400,'IURAN TANAH'!$A$2:$S$145,3,FALSE) &amp;" " &amp;VLOOKUP(L400,'IURAN TANAH'!$A$2:$S$145,4,FALSE)</f>
        <v>#N/A</v>
      </c>
    </row>
    <row r="403" spans="2:12" x14ac:dyDescent="0.25">
      <c r="B403" s="6"/>
      <c r="C403" s="6"/>
      <c r="D403" s="6"/>
      <c r="F403" s="6"/>
      <c r="G403" s="6"/>
      <c r="H403" s="6"/>
      <c r="J403" s="6"/>
      <c r="K403" s="6"/>
      <c r="L403" s="6"/>
    </row>
    <row r="404" spans="2:12" x14ac:dyDescent="0.25">
      <c r="B404" s="5" t="s">
        <v>510</v>
      </c>
      <c r="C404" s="5"/>
      <c r="D404" s="5"/>
      <c r="F404" s="5" t="s">
        <v>510</v>
      </c>
      <c r="G404" s="5"/>
      <c r="H404" s="5"/>
      <c r="J404" s="5" t="s">
        <v>510</v>
      </c>
      <c r="K404" s="5"/>
      <c r="L404" s="5"/>
    </row>
    <row r="405" spans="2:12" x14ac:dyDescent="0.25">
      <c r="B405" s="6" t="s">
        <v>511</v>
      </c>
      <c r="C405" s="6"/>
      <c r="D405" s="39" t="e">
        <f>VLOOKUP(D400,'IURAN TANAH'!$A$2:$S$145,7,FALSE)</f>
        <v>#N/A</v>
      </c>
      <c r="F405" s="6" t="s">
        <v>511</v>
      </c>
      <c r="G405" s="6"/>
      <c r="H405" s="39" t="e">
        <f>VLOOKUP(H400,'IURAN TANAH'!$A$2:$S$145,7,FALSE)</f>
        <v>#N/A</v>
      </c>
      <c r="J405" s="6" t="s">
        <v>511</v>
      </c>
      <c r="K405" s="6"/>
      <c r="L405" s="39" t="e">
        <f>VLOOKUP(L400,'IURAN TANAH'!$A$2:$S$145,7,FALSE)</f>
        <v>#N/A</v>
      </c>
    </row>
    <row r="406" spans="2:12" x14ac:dyDescent="0.25">
      <c r="B406" s="5" t="s">
        <v>512</v>
      </c>
      <c r="C406" s="5"/>
      <c r="D406" s="40" t="e">
        <f>VLOOKUP(D400,'IURAN TANAH'!$A$2:$S$145,8,FALSE)</f>
        <v>#N/A</v>
      </c>
      <c r="F406" s="5" t="s">
        <v>512</v>
      </c>
      <c r="G406" s="5"/>
      <c r="H406" s="40" t="e">
        <f>VLOOKUP(H400,'IURAN TANAH'!$A$2:$S$145,8,FALSE)</f>
        <v>#N/A</v>
      </c>
      <c r="J406" s="5" t="s">
        <v>512</v>
      </c>
      <c r="K406" s="5"/>
      <c r="L406" s="40" t="e">
        <f>VLOOKUP(L400,'IURAN TANAH'!$A$2:$S$145,8,FALSE)</f>
        <v>#N/A</v>
      </c>
    </row>
    <row r="407" spans="2:12" x14ac:dyDescent="0.25">
      <c r="B407" s="6" t="s">
        <v>513</v>
      </c>
      <c r="C407" s="6"/>
      <c r="D407" s="39" t="e">
        <f>VLOOKUP(D400,'IURAN TANAH'!$A$2:$S$145,9,FALSE)</f>
        <v>#N/A</v>
      </c>
      <c r="F407" s="6" t="s">
        <v>513</v>
      </c>
      <c r="G407" s="6"/>
      <c r="H407" s="39" t="e">
        <f>VLOOKUP(H400,'IURAN TANAH'!$A$2:$S$145,9,FALSE)</f>
        <v>#N/A</v>
      </c>
      <c r="J407" s="6" t="s">
        <v>513</v>
      </c>
      <c r="K407" s="6"/>
      <c r="L407" s="39" t="e">
        <f>VLOOKUP(L400,'IURAN TANAH'!$A$2:$S$145,9,FALSE)</f>
        <v>#N/A</v>
      </c>
    </row>
    <row r="408" spans="2:12" x14ac:dyDescent="0.25">
      <c r="B408" s="5" t="s">
        <v>514</v>
      </c>
      <c r="C408" s="5"/>
      <c r="D408" s="40" t="e">
        <f>VLOOKUP(D400,'IURAN TANAH'!$A$2:$S$145,10,FALSE)</f>
        <v>#N/A</v>
      </c>
      <c r="F408" s="5" t="s">
        <v>514</v>
      </c>
      <c r="G408" s="5"/>
      <c r="H408" s="40" t="e">
        <f>VLOOKUP(H400,'IURAN TANAH'!$A$2:$S$145,10,FALSE)</f>
        <v>#N/A</v>
      </c>
      <c r="J408" s="5" t="s">
        <v>514</v>
      </c>
      <c r="K408" s="5"/>
      <c r="L408" s="40" t="e">
        <f>VLOOKUP(L400,'IURAN TANAH'!$A$2:$S$145,10,FALSE)</f>
        <v>#N/A</v>
      </c>
    </row>
    <row r="409" spans="2:12" x14ac:dyDescent="0.25">
      <c r="B409" s="6" t="s">
        <v>515</v>
      </c>
      <c r="C409" s="6"/>
      <c r="D409" s="39" t="e">
        <f>VLOOKUP(D400,'IURAN TANAH'!$A$2:$S$145,11,FALSE)</f>
        <v>#N/A</v>
      </c>
      <c r="F409" s="6" t="s">
        <v>515</v>
      </c>
      <c r="G409" s="6"/>
      <c r="H409" s="39" t="e">
        <f>VLOOKUP(H400,'IURAN TANAH'!$A$2:$S$145,11,FALSE)</f>
        <v>#N/A</v>
      </c>
      <c r="J409" s="6" t="s">
        <v>515</v>
      </c>
      <c r="K409" s="6"/>
      <c r="L409" s="39" t="e">
        <f>VLOOKUP(L400,'IURAN TANAH'!$A$2:$S$145,11,FALSE)</f>
        <v>#N/A</v>
      </c>
    </row>
    <row r="410" spans="2:12" x14ac:dyDescent="0.25">
      <c r="B410" s="5" t="s">
        <v>516</v>
      </c>
      <c r="C410" s="5"/>
      <c r="D410" s="40" t="e">
        <f>VLOOKUP(D400,'IURAN TANAH'!$A$2:$S$145,12,FALSE)</f>
        <v>#N/A</v>
      </c>
      <c r="F410" s="5" t="s">
        <v>516</v>
      </c>
      <c r="G410" s="5"/>
      <c r="H410" s="40" t="e">
        <f>VLOOKUP(H400,'IURAN TANAH'!$A$2:$S$145,12,FALSE)</f>
        <v>#N/A</v>
      </c>
      <c r="J410" s="5" t="s">
        <v>516</v>
      </c>
      <c r="K410" s="5"/>
      <c r="L410" s="40" t="e">
        <f>VLOOKUP(L400,'IURAN TANAH'!$A$2:$S$145,12,FALSE)</f>
        <v>#N/A</v>
      </c>
    </row>
    <row r="411" spans="2:12" x14ac:dyDescent="0.25">
      <c r="B411" s="6" t="s">
        <v>517</v>
      </c>
      <c r="C411" s="6"/>
      <c r="D411" s="39" t="e">
        <f>VLOOKUP(D400,'IURAN TANAH'!$A$2:$S$145,13,FALSE)</f>
        <v>#N/A</v>
      </c>
      <c r="F411" s="6" t="s">
        <v>517</v>
      </c>
      <c r="G411" s="6"/>
      <c r="H411" s="39" t="e">
        <f>VLOOKUP(H400,'IURAN TANAH'!$A$2:$S$145,13,FALSE)</f>
        <v>#N/A</v>
      </c>
      <c r="J411" s="6" t="s">
        <v>517</v>
      </c>
      <c r="K411" s="6"/>
      <c r="L411" s="39" t="e">
        <f>VLOOKUP(L400,'IURAN TANAH'!$A$2:$S$145,13,FALSE)</f>
        <v>#N/A</v>
      </c>
    </row>
    <row r="412" spans="2:12" x14ac:dyDescent="0.25">
      <c r="B412" s="5" t="s">
        <v>518</v>
      </c>
      <c r="C412" s="5"/>
      <c r="D412" s="40" t="e">
        <f>VLOOKUP(D400,'IURAN TANAH'!$A$2:$S$145,14,FALSE)</f>
        <v>#N/A</v>
      </c>
      <c r="F412" s="5" t="s">
        <v>518</v>
      </c>
      <c r="G412" s="5"/>
      <c r="H412" s="40" t="e">
        <f>VLOOKUP(H400,'IURAN TANAH'!$A$2:$S$145,14,FALSE)</f>
        <v>#N/A</v>
      </c>
      <c r="J412" s="5" t="s">
        <v>518</v>
      </c>
      <c r="K412" s="5"/>
      <c r="L412" s="40" t="e">
        <f>VLOOKUP(L400,'IURAN TANAH'!$A$2:$S$145,14,FALSE)</f>
        <v>#N/A</v>
      </c>
    </row>
    <row r="413" spans="2:12" x14ac:dyDescent="0.25">
      <c r="B413" s="6" t="s">
        <v>519</v>
      </c>
      <c r="C413" s="6"/>
      <c r="D413" s="39" t="e">
        <f>VLOOKUP(D400,'IURAN TANAH'!$A$2:$S$145,15,FALSE)</f>
        <v>#N/A</v>
      </c>
      <c r="F413" s="6" t="s">
        <v>519</v>
      </c>
      <c r="G413" s="6"/>
      <c r="H413" s="39" t="e">
        <f>VLOOKUP(H400,'IURAN TANAH'!$A$2:$S$145,15,FALSE)</f>
        <v>#N/A</v>
      </c>
      <c r="J413" s="6" t="s">
        <v>519</v>
      </c>
      <c r="K413" s="6"/>
      <c r="L413" s="39" t="e">
        <f>VLOOKUP(L400,'IURAN TANAH'!$A$2:$S$145,15,FALSE)</f>
        <v>#N/A</v>
      </c>
    </row>
    <row r="414" spans="2:12" x14ac:dyDescent="0.25">
      <c r="B414" s="5" t="s">
        <v>520</v>
      </c>
      <c r="C414" s="5"/>
      <c r="D414" s="40" t="e">
        <f>VLOOKUP(D400,'IURAN TANAH'!$A$2:$S$145,16,FALSE)</f>
        <v>#N/A</v>
      </c>
      <c r="F414" s="5" t="s">
        <v>520</v>
      </c>
      <c r="G414" s="5"/>
      <c r="H414" s="40" t="e">
        <f>VLOOKUP(H400,'IURAN TANAH'!$A$2:$S$145,16,FALSE)</f>
        <v>#N/A</v>
      </c>
      <c r="J414" s="5" t="s">
        <v>520</v>
      </c>
      <c r="K414" s="5"/>
      <c r="L414" s="40" t="e">
        <f>VLOOKUP(L400,'IURAN TANAH'!$A$2:$S$145,16,FALSE)</f>
        <v>#N/A</v>
      </c>
    </row>
    <row r="415" spans="2:12" ht="18.75" customHeight="1" x14ac:dyDescent="0.3">
      <c r="B415" s="7" t="s">
        <v>21</v>
      </c>
      <c r="C415" s="7"/>
      <c r="D415" s="41" t="e">
        <f>SUM(D405:D414)</f>
        <v>#N/A</v>
      </c>
      <c r="F415" s="7" t="s">
        <v>21</v>
      </c>
      <c r="G415" s="7"/>
      <c r="H415" s="41" t="e">
        <f>SUM(H405:H414)</f>
        <v>#N/A</v>
      </c>
      <c r="J415" s="7" t="s">
        <v>21</v>
      </c>
      <c r="K415" s="7"/>
      <c r="L415" s="41" t="e">
        <f>SUM(L405:L414)</f>
        <v>#N/A</v>
      </c>
    </row>
    <row r="416" spans="2:12" x14ac:dyDescent="0.25">
      <c r="B416" s="5"/>
      <c r="C416" s="5"/>
      <c r="D416" s="5"/>
      <c r="F416" s="5"/>
      <c r="G416" s="5"/>
      <c r="H416" s="5"/>
      <c r="J416" s="5"/>
      <c r="K416" s="5"/>
      <c r="L416" s="5"/>
    </row>
    <row r="418" spans="2:12" x14ac:dyDescent="0.25">
      <c r="B418" s="5" t="s">
        <v>2</v>
      </c>
      <c r="C418" s="5" t="s">
        <v>507</v>
      </c>
      <c r="D418" s="5">
        <v>70</v>
      </c>
      <c r="F418" s="5" t="s">
        <v>2</v>
      </c>
      <c r="G418" s="5" t="s">
        <v>507</v>
      </c>
      <c r="H418" s="5">
        <v>71</v>
      </c>
      <c r="J418" s="5" t="s">
        <v>2</v>
      </c>
      <c r="K418" s="5" t="s">
        <v>507</v>
      </c>
      <c r="L418" s="5">
        <v>72</v>
      </c>
    </row>
    <row r="419" spans="2:12" x14ac:dyDescent="0.25">
      <c r="B419" s="6" t="s">
        <v>508</v>
      </c>
      <c r="C419" s="6" t="s">
        <v>507</v>
      </c>
      <c r="D419" s="6" t="e">
        <f>VLOOKUP(D418,'IURAN TANAH'!$A$2:$S$145,2,FALSE)</f>
        <v>#N/A</v>
      </c>
      <c r="F419" s="6" t="s">
        <v>508</v>
      </c>
      <c r="G419" s="6" t="s">
        <v>507</v>
      </c>
      <c r="H419" s="6" t="e">
        <f>VLOOKUP(H418,'IURAN TANAH'!$A$2:$S$145,2,FALSE)</f>
        <v>#N/A</v>
      </c>
      <c r="J419" s="6" t="s">
        <v>508</v>
      </c>
      <c r="K419" s="6" t="s">
        <v>507</v>
      </c>
      <c r="L419" s="6" t="e">
        <f>VLOOKUP(L418,'IURAN TANAH'!$A$2:$S$145,2,FALSE)</f>
        <v>#N/A</v>
      </c>
    </row>
    <row r="420" spans="2:12" x14ac:dyDescent="0.25">
      <c r="B420" s="5" t="s">
        <v>509</v>
      </c>
      <c r="C420" s="5" t="s">
        <v>507</v>
      </c>
      <c r="D420" s="5" t="e">
        <f>VLOOKUP(D418,'IURAN TANAH'!$A$2:$S$145,3,FALSE) &amp;" " &amp;VLOOKUP(D418,'IURAN TANAH'!$A$2:$S$145,4,FALSE)</f>
        <v>#N/A</v>
      </c>
      <c r="F420" s="5" t="s">
        <v>509</v>
      </c>
      <c r="G420" s="5" t="s">
        <v>507</v>
      </c>
      <c r="H420" s="5" t="e">
        <f>VLOOKUP(H418,'IURAN TANAH'!$A$2:$S$145,3,FALSE) &amp;" " &amp;VLOOKUP(H418,'IURAN TANAH'!$A$2:$S$145,4,FALSE)</f>
        <v>#N/A</v>
      </c>
      <c r="J420" s="5" t="s">
        <v>509</v>
      </c>
      <c r="K420" s="5" t="s">
        <v>507</v>
      </c>
      <c r="L420" s="5" t="e">
        <f>VLOOKUP(L418,'IURAN TANAH'!$A$2:$S$145,3,FALSE) &amp;" " &amp;VLOOKUP(L418,'IURAN TANAH'!$A$2:$S$145,4,FALSE)</f>
        <v>#N/A</v>
      </c>
    </row>
    <row r="421" spans="2:12" x14ac:dyDescent="0.25">
      <c r="B421" s="6"/>
      <c r="C421" s="6"/>
      <c r="D421" s="6"/>
      <c r="F421" s="6"/>
      <c r="G421" s="6"/>
      <c r="H421" s="6"/>
      <c r="J421" s="6"/>
      <c r="K421" s="6"/>
      <c r="L421" s="6"/>
    </row>
    <row r="422" spans="2:12" x14ac:dyDescent="0.25">
      <c r="B422" s="5" t="s">
        <v>510</v>
      </c>
      <c r="C422" s="5"/>
      <c r="D422" s="5"/>
      <c r="F422" s="5" t="s">
        <v>510</v>
      </c>
      <c r="G422" s="5"/>
      <c r="H422" s="5"/>
      <c r="J422" s="5" t="s">
        <v>510</v>
      </c>
      <c r="K422" s="5"/>
      <c r="L422" s="5"/>
    </row>
    <row r="423" spans="2:12" x14ac:dyDescent="0.25">
      <c r="B423" s="6" t="s">
        <v>511</v>
      </c>
      <c r="C423" s="6"/>
      <c r="D423" s="39" t="e">
        <f>VLOOKUP(D418,'IURAN TANAH'!$A$2:$S$145,7,FALSE)</f>
        <v>#N/A</v>
      </c>
      <c r="F423" s="6" t="s">
        <v>511</v>
      </c>
      <c r="G423" s="6"/>
      <c r="H423" s="39" t="e">
        <f>VLOOKUP(H418,'IURAN TANAH'!$A$2:$S$145,7,FALSE)</f>
        <v>#N/A</v>
      </c>
      <c r="J423" s="6" t="s">
        <v>511</v>
      </c>
      <c r="K423" s="6"/>
      <c r="L423" s="39" t="e">
        <f>VLOOKUP(L418,'IURAN TANAH'!$A$2:$S$145,7,FALSE)</f>
        <v>#N/A</v>
      </c>
    </row>
    <row r="424" spans="2:12" x14ac:dyDescent="0.25">
      <c r="B424" s="5" t="s">
        <v>512</v>
      </c>
      <c r="C424" s="5"/>
      <c r="D424" s="40" t="e">
        <f>VLOOKUP(D418,'IURAN TANAH'!$A$2:$S$145,8,FALSE)</f>
        <v>#N/A</v>
      </c>
      <c r="F424" s="5" t="s">
        <v>512</v>
      </c>
      <c r="G424" s="5"/>
      <c r="H424" s="40" t="e">
        <f>VLOOKUP(H418,'IURAN TANAH'!$A$2:$S$145,8,FALSE)</f>
        <v>#N/A</v>
      </c>
      <c r="J424" s="5" t="s">
        <v>512</v>
      </c>
      <c r="K424" s="5"/>
      <c r="L424" s="40" t="e">
        <f>VLOOKUP(L418,'IURAN TANAH'!$A$2:$S$145,8,FALSE)</f>
        <v>#N/A</v>
      </c>
    </row>
    <row r="425" spans="2:12" x14ac:dyDescent="0.25">
      <c r="B425" s="6" t="s">
        <v>513</v>
      </c>
      <c r="C425" s="6"/>
      <c r="D425" s="39" t="e">
        <f>VLOOKUP(D418,'IURAN TANAH'!$A$2:$S$145,9,FALSE)</f>
        <v>#N/A</v>
      </c>
      <c r="F425" s="6" t="s">
        <v>513</v>
      </c>
      <c r="G425" s="6"/>
      <c r="H425" s="39" t="e">
        <f>VLOOKUP(H418,'IURAN TANAH'!$A$2:$S$145,9,FALSE)</f>
        <v>#N/A</v>
      </c>
      <c r="J425" s="6" t="s">
        <v>513</v>
      </c>
      <c r="K425" s="6"/>
      <c r="L425" s="39" t="e">
        <f>VLOOKUP(L418,'IURAN TANAH'!$A$2:$S$145,9,FALSE)</f>
        <v>#N/A</v>
      </c>
    </row>
    <row r="426" spans="2:12" x14ac:dyDescent="0.25">
      <c r="B426" s="5" t="s">
        <v>514</v>
      </c>
      <c r="C426" s="5"/>
      <c r="D426" s="40" t="e">
        <f>VLOOKUP(D418,'IURAN TANAH'!$A$2:$S$145,10,FALSE)</f>
        <v>#N/A</v>
      </c>
      <c r="F426" s="5" t="s">
        <v>514</v>
      </c>
      <c r="G426" s="5"/>
      <c r="H426" s="40" t="e">
        <f>VLOOKUP(H418,'IURAN TANAH'!$A$2:$S$145,10,FALSE)</f>
        <v>#N/A</v>
      </c>
      <c r="J426" s="5" t="s">
        <v>514</v>
      </c>
      <c r="K426" s="5"/>
      <c r="L426" s="40" t="e">
        <f>VLOOKUP(L418,'IURAN TANAH'!$A$2:$S$145,10,FALSE)</f>
        <v>#N/A</v>
      </c>
    </row>
    <row r="427" spans="2:12" x14ac:dyDescent="0.25">
      <c r="B427" s="6" t="s">
        <v>515</v>
      </c>
      <c r="C427" s="6"/>
      <c r="D427" s="39" t="e">
        <f>VLOOKUP(D418,'IURAN TANAH'!$A$2:$S$145,11,FALSE)</f>
        <v>#N/A</v>
      </c>
      <c r="F427" s="6" t="s">
        <v>515</v>
      </c>
      <c r="G427" s="6"/>
      <c r="H427" s="39" t="e">
        <f>VLOOKUP(H418,'IURAN TANAH'!$A$2:$S$145,11,FALSE)</f>
        <v>#N/A</v>
      </c>
      <c r="J427" s="6" t="s">
        <v>515</v>
      </c>
      <c r="K427" s="6"/>
      <c r="L427" s="39" t="e">
        <f>VLOOKUP(L418,'IURAN TANAH'!$A$2:$S$145,11,FALSE)</f>
        <v>#N/A</v>
      </c>
    </row>
    <row r="428" spans="2:12" x14ac:dyDescent="0.25">
      <c r="B428" s="5" t="s">
        <v>516</v>
      </c>
      <c r="C428" s="5"/>
      <c r="D428" s="40" t="e">
        <f>VLOOKUP(D418,'IURAN TANAH'!$A$2:$S$145,12,FALSE)</f>
        <v>#N/A</v>
      </c>
      <c r="F428" s="5" t="s">
        <v>516</v>
      </c>
      <c r="G428" s="5"/>
      <c r="H428" s="40" t="e">
        <f>VLOOKUP(H418,'IURAN TANAH'!$A$2:$S$145,12,FALSE)</f>
        <v>#N/A</v>
      </c>
      <c r="J428" s="5" t="s">
        <v>516</v>
      </c>
      <c r="K428" s="5"/>
      <c r="L428" s="40" t="e">
        <f>VLOOKUP(L418,'IURAN TANAH'!$A$2:$S$145,12,FALSE)</f>
        <v>#N/A</v>
      </c>
    </row>
    <row r="429" spans="2:12" x14ac:dyDescent="0.25">
      <c r="B429" s="6" t="s">
        <v>517</v>
      </c>
      <c r="C429" s="6"/>
      <c r="D429" s="39" t="e">
        <f>VLOOKUP(D418,'IURAN TANAH'!$A$2:$S$145,13,FALSE)</f>
        <v>#N/A</v>
      </c>
      <c r="F429" s="6" t="s">
        <v>517</v>
      </c>
      <c r="G429" s="6"/>
      <c r="H429" s="39" t="e">
        <f>VLOOKUP(H418,'IURAN TANAH'!$A$2:$S$145,13,FALSE)</f>
        <v>#N/A</v>
      </c>
      <c r="J429" s="6" t="s">
        <v>517</v>
      </c>
      <c r="K429" s="6"/>
      <c r="L429" s="39" t="e">
        <f>VLOOKUP(L418,'IURAN TANAH'!$A$2:$S$145,13,FALSE)</f>
        <v>#N/A</v>
      </c>
    </row>
    <row r="430" spans="2:12" x14ac:dyDescent="0.25">
      <c r="B430" s="5" t="s">
        <v>518</v>
      </c>
      <c r="C430" s="5"/>
      <c r="D430" s="40" t="e">
        <f>VLOOKUP(D418,'IURAN TANAH'!$A$2:$S$145,14,FALSE)</f>
        <v>#N/A</v>
      </c>
      <c r="F430" s="5" t="s">
        <v>518</v>
      </c>
      <c r="G430" s="5"/>
      <c r="H430" s="40" t="e">
        <f>VLOOKUP(H418,'IURAN TANAH'!$A$2:$S$145,14,FALSE)</f>
        <v>#N/A</v>
      </c>
      <c r="J430" s="5" t="s">
        <v>518</v>
      </c>
      <c r="K430" s="5"/>
      <c r="L430" s="40" t="e">
        <f>VLOOKUP(L418,'IURAN TANAH'!$A$2:$S$145,14,FALSE)</f>
        <v>#N/A</v>
      </c>
    </row>
    <row r="431" spans="2:12" x14ac:dyDescent="0.25">
      <c r="B431" s="6" t="s">
        <v>519</v>
      </c>
      <c r="C431" s="6"/>
      <c r="D431" s="39" t="e">
        <f>VLOOKUP(D418,'IURAN TANAH'!$A$2:$S$145,15,FALSE)</f>
        <v>#N/A</v>
      </c>
      <c r="F431" s="6" t="s">
        <v>519</v>
      </c>
      <c r="G431" s="6"/>
      <c r="H431" s="39" t="e">
        <f>VLOOKUP(H418,'IURAN TANAH'!$A$2:$S$145,15,FALSE)</f>
        <v>#N/A</v>
      </c>
      <c r="J431" s="6" t="s">
        <v>519</v>
      </c>
      <c r="K431" s="6"/>
      <c r="L431" s="39" t="e">
        <f>VLOOKUP(L418,'IURAN TANAH'!$A$2:$S$145,15,FALSE)</f>
        <v>#N/A</v>
      </c>
    </row>
    <row r="432" spans="2:12" x14ac:dyDescent="0.25">
      <c r="B432" s="5" t="s">
        <v>520</v>
      </c>
      <c r="C432" s="5"/>
      <c r="D432" s="40" t="e">
        <f>VLOOKUP(D418,'IURAN TANAH'!$A$2:$S$145,16,FALSE)</f>
        <v>#N/A</v>
      </c>
      <c r="F432" s="5" t="s">
        <v>520</v>
      </c>
      <c r="G432" s="5"/>
      <c r="H432" s="40" t="e">
        <f>VLOOKUP(H418,'IURAN TANAH'!$A$2:$S$145,16,FALSE)</f>
        <v>#N/A</v>
      </c>
      <c r="J432" s="5" t="s">
        <v>520</v>
      </c>
      <c r="K432" s="5"/>
      <c r="L432" s="40" t="e">
        <f>VLOOKUP(L418,'IURAN TANAH'!$A$2:$S$145,16,FALSE)</f>
        <v>#N/A</v>
      </c>
    </row>
    <row r="433" spans="2:12" ht="18.75" customHeight="1" x14ac:dyDescent="0.3">
      <c r="B433" s="7" t="s">
        <v>21</v>
      </c>
      <c r="C433" s="7"/>
      <c r="D433" s="41" t="e">
        <f>SUM(D423:D432)</f>
        <v>#N/A</v>
      </c>
      <c r="F433" s="7" t="s">
        <v>21</v>
      </c>
      <c r="G433" s="7"/>
      <c r="H433" s="41" t="e">
        <f>SUM(H423:H432)</f>
        <v>#N/A</v>
      </c>
      <c r="J433" s="7" t="s">
        <v>21</v>
      </c>
      <c r="K433" s="7"/>
      <c r="L433" s="41" t="e">
        <f>SUM(L423:L432)</f>
        <v>#N/A</v>
      </c>
    </row>
    <row r="434" spans="2:12" x14ac:dyDescent="0.25">
      <c r="B434" s="5"/>
      <c r="C434" s="5"/>
      <c r="D434" s="5"/>
      <c r="F434" s="5"/>
      <c r="G434" s="5"/>
      <c r="H434" s="5"/>
      <c r="J434" s="5"/>
      <c r="K434" s="5"/>
      <c r="L434" s="5"/>
    </row>
    <row r="436" spans="2:12" x14ac:dyDescent="0.25">
      <c r="B436" s="5" t="s">
        <v>2</v>
      </c>
      <c r="C436" s="5" t="s">
        <v>507</v>
      </c>
      <c r="D436" s="5">
        <v>73</v>
      </c>
      <c r="F436" s="5" t="s">
        <v>2</v>
      </c>
      <c r="G436" s="5" t="s">
        <v>507</v>
      </c>
      <c r="H436" s="5">
        <v>74</v>
      </c>
      <c r="J436" s="5" t="s">
        <v>2</v>
      </c>
      <c r="K436" s="5" t="s">
        <v>507</v>
      </c>
      <c r="L436" s="5">
        <v>75</v>
      </c>
    </row>
    <row r="437" spans="2:12" x14ac:dyDescent="0.25">
      <c r="B437" s="6" t="s">
        <v>508</v>
      </c>
      <c r="C437" s="6" t="s">
        <v>507</v>
      </c>
      <c r="D437" s="6" t="e">
        <f>VLOOKUP(D436,'IURAN TANAH'!$A$2:$S$145,2,FALSE)</f>
        <v>#N/A</v>
      </c>
      <c r="F437" s="6" t="s">
        <v>508</v>
      </c>
      <c r="G437" s="6" t="s">
        <v>507</v>
      </c>
      <c r="H437" s="6" t="e">
        <f>VLOOKUP(H436,'IURAN TANAH'!$A$2:$S$145,2,FALSE)</f>
        <v>#N/A</v>
      </c>
      <c r="J437" s="6" t="s">
        <v>508</v>
      </c>
      <c r="K437" s="6" t="s">
        <v>507</v>
      </c>
      <c r="L437" s="6" t="e">
        <f>VLOOKUP(L436,'IURAN TANAH'!$A$2:$S$145,2,FALSE)</f>
        <v>#N/A</v>
      </c>
    </row>
    <row r="438" spans="2:12" x14ac:dyDescent="0.25">
      <c r="B438" s="5" t="s">
        <v>509</v>
      </c>
      <c r="C438" s="5" t="s">
        <v>507</v>
      </c>
      <c r="D438" s="5" t="e">
        <f>VLOOKUP(D436,'IURAN TANAH'!$A$2:$S$145,3,FALSE) &amp;" " &amp;VLOOKUP(D436,'IURAN TANAH'!$A$2:$S$145,4,FALSE)</f>
        <v>#N/A</v>
      </c>
      <c r="F438" s="5" t="s">
        <v>509</v>
      </c>
      <c r="G438" s="5" t="s">
        <v>507</v>
      </c>
      <c r="H438" s="5" t="e">
        <f>VLOOKUP(H436,'IURAN TANAH'!$A$2:$S$145,3,FALSE) &amp;" " &amp;VLOOKUP(H436,'IURAN TANAH'!$A$2:$S$145,4,FALSE)</f>
        <v>#N/A</v>
      </c>
      <c r="J438" s="5" t="s">
        <v>509</v>
      </c>
      <c r="K438" s="5" t="s">
        <v>507</v>
      </c>
      <c r="L438" s="5" t="e">
        <f>VLOOKUP(L436,'IURAN TANAH'!$A$2:$S$145,3,FALSE) &amp;" " &amp;VLOOKUP(L436,'IURAN TANAH'!$A$2:$S$145,4,FALSE)</f>
        <v>#N/A</v>
      </c>
    </row>
    <row r="439" spans="2:12" x14ac:dyDescent="0.25">
      <c r="B439" s="6"/>
      <c r="C439" s="6"/>
      <c r="D439" s="6"/>
      <c r="F439" s="6"/>
      <c r="G439" s="6"/>
      <c r="H439" s="6"/>
      <c r="J439" s="6"/>
      <c r="K439" s="6"/>
      <c r="L439" s="6"/>
    </row>
    <row r="440" spans="2:12" x14ac:dyDescent="0.25">
      <c r="B440" s="5" t="s">
        <v>510</v>
      </c>
      <c r="C440" s="5"/>
      <c r="D440" s="5"/>
      <c r="F440" s="5" t="s">
        <v>510</v>
      </c>
      <c r="G440" s="5"/>
      <c r="H440" s="5"/>
      <c r="J440" s="5" t="s">
        <v>510</v>
      </c>
      <c r="K440" s="5"/>
      <c r="L440" s="5"/>
    </row>
    <row r="441" spans="2:12" x14ac:dyDescent="0.25">
      <c r="B441" s="6" t="s">
        <v>511</v>
      </c>
      <c r="C441" s="6"/>
      <c r="D441" s="39" t="e">
        <f>VLOOKUP(D436,'IURAN TANAH'!$A$2:$S$145,7,FALSE)</f>
        <v>#N/A</v>
      </c>
      <c r="F441" s="6" t="s">
        <v>511</v>
      </c>
      <c r="G441" s="6"/>
      <c r="H441" s="39" t="e">
        <f>VLOOKUP(H436,'IURAN TANAH'!$A$2:$S$145,7,FALSE)</f>
        <v>#N/A</v>
      </c>
      <c r="J441" s="6" t="s">
        <v>511</v>
      </c>
      <c r="K441" s="6"/>
      <c r="L441" s="39" t="e">
        <f>VLOOKUP(L436,'IURAN TANAH'!$A$2:$S$145,7,FALSE)</f>
        <v>#N/A</v>
      </c>
    </row>
    <row r="442" spans="2:12" x14ac:dyDescent="0.25">
      <c r="B442" s="5" t="s">
        <v>512</v>
      </c>
      <c r="C442" s="5"/>
      <c r="D442" s="40" t="e">
        <f>VLOOKUP(D436,'IURAN TANAH'!$A$2:$S$145,8,FALSE)</f>
        <v>#N/A</v>
      </c>
      <c r="F442" s="5" t="s">
        <v>512</v>
      </c>
      <c r="G442" s="5"/>
      <c r="H442" s="40" t="e">
        <f>VLOOKUP(H436,'IURAN TANAH'!$A$2:$S$145,8,FALSE)</f>
        <v>#N/A</v>
      </c>
      <c r="J442" s="5" t="s">
        <v>512</v>
      </c>
      <c r="K442" s="5"/>
      <c r="L442" s="40" t="e">
        <f>VLOOKUP(L436,'IURAN TANAH'!$A$2:$S$145,8,FALSE)</f>
        <v>#N/A</v>
      </c>
    </row>
    <row r="443" spans="2:12" x14ac:dyDescent="0.25">
      <c r="B443" s="6" t="s">
        <v>513</v>
      </c>
      <c r="C443" s="6"/>
      <c r="D443" s="39" t="e">
        <f>VLOOKUP(D436,'IURAN TANAH'!$A$2:$S$145,9,FALSE)</f>
        <v>#N/A</v>
      </c>
      <c r="F443" s="6" t="s">
        <v>513</v>
      </c>
      <c r="G443" s="6"/>
      <c r="H443" s="39" t="e">
        <f>VLOOKUP(H436,'IURAN TANAH'!$A$2:$S$145,9,FALSE)</f>
        <v>#N/A</v>
      </c>
      <c r="J443" s="6" t="s">
        <v>513</v>
      </c>
      <c r="K443" s="6"/>
      <c r="L443" s="39" t="e">
        <f>VLOOKUP(L436,'IURAN TANAH'!$A$2:$S$145,9,FALSE)</f>
        <v>#N/A</v>
      </c>
    </row>
    <row r="444" spans="2:12" x14ac:dyDescent="0.25">
      <c r="B444" s="5" t="s">
        <v>514</v>
      </c>
      <c r="C444" s="5"/>
      <c r="D444" s="40" t="e">
        <f>VLOOKUP(D436,'IURAN TANAH'!$A$2:$S$145,10,FALSE)</f>
        <v>#N/A</v>
      </c>
      <c r="F444" s="5" t="s">
        <v>514</v>
      </c>
      <c r="G444" s="5"/>
      <c r="H444" s="40" t="e">
        <f>VLOOKUP(H436,'IURAN TANAH'!$A$2:$S$145,10,FALSE)</f>
        <v>#N/A</v>
      </c>
      <c r="J444" s="5" t="s">
        <v>514</v>
      </c>
      <c r="K444" s="5"/>
      <c r="L444" s="40" t="e">
        <f>VLOOKUP(L436,'IURAN TANAH'!$A$2:$S$145,10,FALSE)</f>
        <v>#N/A</v>
      </c>
    </row>
    <row r="445" spans="2:12" x14ac:dyDescent="0.25">
      <c r="B445" s="6" t="s">
        <v>515</v>
      </c>
      <c r="C445" s="6"/>
      <c r="D445" s="39" t="e">
        <f>VLOOKUP(D436,'IURAN TANAH'!$A$2:$S$145,11,FALSE)</f>
        <v>#N/A</v>
      </c>
      <c r="F445" s="6" t="s">
        <v>515</v>
      </c>
      <c r="G445" s="6"/>
      <c r="H445" s="39" t="e">
        <f>VLOOKUP(H436,'IURAN TANAH'!$A$2:$S$145,11,FALSE)</f>
        <v>#N/A</v>
      </c>
      <c r="J445" s="6" t="s">
        <v>515</v>
      </c>
      <c r="K445" s="6"/>
      <c r="L445" s="39" t="e">
        <f>VLOOKUP(L436,'IURAN TANAH'!$A$2:$S$145,11,FALSE)</f>
        <v>#N/A</v>
      </c>
    </row>
    <row r="446" spans="2:12" x14ac:dyDescent="0.25">
      <c r="B446" s="5" t="s">
        <v>516</v>
      </c>
      <c r="C446" s="5"/>
      <c r="D446" s="40" t="e">
        <f>VLOOKUP(D436,'IURAN TANAH'!$A$2:$S$145,12,FALSE)</f>
        <v>#N/A</v>
      </c>
      <c r="F446" s="5" t="s">
        <v>516</v>
      </c>
      <c r="G446" s="5"/>
      <c r="H446" s="40" t="e">
        <f>VLOOKUP(H436,'IURAN TANAH'!$A$2:$S$145,12,FALSE)</f>
        <v>#N/A</v>
      </c>
      <c r="J446" s="5" t="s">
        <v>516</v>
      </c>
      <c r="K446" s="5"/>
      <c r="L446" s="40" t="e">
        <f>VLOOKUP(L436,'IURAN TANAH'!$A$2:$S$145,12,FALSE)</f>
        <v>#N/A</v>
      </c>
    </row>
    <row r="447" spans="2:12" x14ac:dyDescent="0.25">
      <c r="B447" s="6" t="s">
        <v>517</v>
      </c>
      <c r="C447" s="6"/>
      <c r="D447" s="39" t="e">
        <f>VLOOKUP(D436,'IURAN TANAH'!$A$2:$S$145,13,FALSE)</f>
        <v>#N/A</v>
      </c>
      <c r="F447" s="6" t="s">
        <v>517</v>
      </c>
      <c r="G447" s="6"/>
      <c r="H447" s="39" t="e">
        <f>VLOOKUP(H436,'IURAN TANAH'!$A$2:$S$145,13,FALSE)</f>
        <v>#N/A</v>
      </c>
      <c r="J447" s="6" t="s">
        <v>517</v>
      </c>
      <c r="K447" s="6"/>
      <c r="L447" s="39" t="e">
        <f>VLOOKUP(L436,'IURAN TANAH'!$A$2:$S$145,13,FALSE)</f>
        <v>#N/A</v>
      </c>
    </row>
    <row r="448" spans="2:12" x14ac:dyDescent="0.25">
      <c r="B448" s="5" t="s">
        <v>518</v>
      </c>
      <c r="C448" s="5"/>
      <c r="D448" s="40" t="e">
        <f>VLOOKUP(D436,'IURAN TANAH'!$A$2:$S$145,14,FALSE)</f>
        <v>#N/A</v>
      </c>
      <c r="F448" s="5" t="s">
        <v>518</v>
      </c>
      <c r="G448" s="5"/>
      <c r="H448" s="40" t="e">
        <f>VLOOKUP(H436,'IURAN TANAH'!$A$2:$S$145,14,FALSE)</f>
        <v>#N/A</v>
      </c>
      <c r="J448" s="5" t="s">
        <v>518</v>
      </c>
      <c r="K448" s="5"/>
      <c r="L448" s="40" t="e">
        <f>VLOOKUP(L436,'IURAN TANAH'!$A$2:$S$145,14,FALSE)</f>
        <v>#N/A</v>
      </c>
    </row>
    <row r="449" spans="2:12" x14ac:dyDescent="0.25">
      <c r="B449" s="6" t="s">
        <v>519</v>
      </c>
      <c r="C449" s="6"/>
      <c r="D449" s="39" t="e">
        <f>VLOOKUP(D436,'IURAN TANAH'!$A$2:$S$145,15,FALSE)</f>
        <v>#N/A</v>
      </c>
      <c r="F449" s="6" t="s">
        <v>519</v>
      </c>
      <c r="G449" s="6"/>
      <c r="H449" s="39" t="e">
        <f>VLOOKUP(H436,'IURAN TANAH'!$A$2:$S$145,15,FALSE)</f>
        <v>#N/A</v>
      </c>
      <c r="J449" s="6" t="s">
        <v>519</v>
      </c>
      <c r="K449" s="6"/>
      <c r="L449" s="39" t="e">
        <f>VLOOKUP(L436,'IURAN TANAH'!$A$2:$S$145,15,FALSE)</f>
        <v>#N/A</v>
      </c>
    </row>
    <row r="450" spans="2:12" x14ac:dyDescent="0.25">
      <c r="B450" s="5" t="s">
        <v>520</v>
      </c>
      <c r="C450" s="5"/>
      <c r="D450" s="40" t="e">
        <f>VLOOKUP(D436,'IURAN TANAH'!$A$2:$S$145,16,FALSE)</f>
        <v>#N/A</v>
      </c>
      <c r="F450" s="5" t="s">
        <v>520</v>
      </c>
      <c r="G450" s="5"/>
      <c r="H450" s="40" t="e">
        <f>VLOOKUP(H436,'IURAN TANAH'!$A$2:$S$145,16,FALSE)</f>
        <v>#N/A</v>
      </c>
      <c r="J450" s="5" t="s">
        <v>520</v>
      </c>
      <c r="K450" s="5"/>
      <c r="L450" s="40" t="e">
        <f>VLOOKUP(L436,'IURAN TANAH'!$A$2:$S$145,16,FALSE)</f>
        <v>#N/A</v>
      </c>
    </row>
    <row r="451" spans="2:12" ht="18.75" customHeight="1" x14ac:dyDescent="0.3">
      <c r="B451" s="7" t="s">
        <v>21</v>
      </c>
      <c r="C451" s="7"/>
      <c r="D451" s="41" t="e">
        <f>SUM(D441:D450)</f>
        <v>#N/A</v>
      </c>
      <c r="F451" s="7" t="s">
        <v>21</v>
      </c>
      <c r="G451" s="7"/>
      <c r="H451" s="41" t="e">
        <f>SUM(H441:H450)</f>
        <v>#N/A</v>
      </c>
      <c r="J451" s="7" t="s">
        <v>21</v>
      </c>
      <c r="K451" s="7"/>
      <c r="L451" s="41" t="e">
        <f>SUM(L441:L450)</f>
        <v>#N/A</v>
      </c>
    </row>
    <row r="452" spans="2:12" x14ac:dyDescent="0.25">
      <c r="B452" s="5"/>
      <c r="C452" s="5"/>
      <c r="D452" s="5"/>
      <c r="F452" s="5"/>
      <c r="G452" s="5"/>
      <c r="H452" s="5"/>
      <c r="J452" s="5"/>
      <c r="K452" s="5"/>
      <c r="L452" s="5"/>
    </row>
    <row r="454" spans="2:12" x14ac:dyDescent="0.25">
      <c r="B454" s="5" t="s">
        <v>2</v>
      </c>
      <c r="C454" s="5" t="s">
        <v>507</v>
      </c>
      <c r="D454" s="5">
        <v>76</v>
      </c>
      <c r="F454" s="5" t="s">
        <v>2</v>
      </c>
      <c r="G454" s="5" t="s">
        <v>507</v>
      </c>
      <c r="H454" s="5">
        <v>77</v>
      </c>
      <c r="J454" s="5" t="s">
        <v>2</v>
      </c>
      <c r="K454" s="5" t="s">
        <v>507</v>
      </c>
      <c r="L454" s="5">
        <v>78</v>
      </c>
    </row>
    <row r="455" spans="2:12" x14ac:dyDescent="0.25">
      <c r="B455" s="6" t="s">
        <v>508</v>
      </c>
      <c r="C455" s="6" t="s">
        <v>507</v>
      </c>
      <c r="D455" s="6" t="e">
        <f>VLOOKUP(D454,'IURAN TANAH'!$A$2:$S$145,2,FALSE)</f>
        <v>#N/A</v>
      </c>
      <c r="F455" s="6" t="s">
        <v>508</v>
      </c>
      <c r="G455" s="6" t="s">
        <v>507</v>
      </c>
      <c r="H455" s="6" t="e">
        <f>VLOOKUP(H454,'IURAN TANAH'!$A$2:$S$145,2,FALSE)</f>
        <v>#N/A</v>
      </c>
      <c r="J455" s="6" t="s">
        <v>508</v>
      </c>
      <c r="K455" s="6" t="s">
        <v>507</v>
      </c>
      <c r="L455" s="6" t="e">
        <f>VLOOKUP(L454,'IURAN TANAH'!$A$2:$S$145,2,FALSE)</f>
        <v>#N/A</v>
      </c>
    </row>
    <row r="456" spans="2:12" x14ac:dyDescent="0.25">
      <c r="B456" s="5" t="s">
        <v>509</v>
      </c>
      <c r="C456" s="5" t="s">
        <v>507</v>
      </c>
      <c r="D456" s="5" t="e">
        <f>VLOOKUP(D454,'IURAN TANAH'!$A$2:$S$145,3,FALSE) &amp;" " &amp;VLOOKUP(D454,'IURAN TANAH'!$A$2:$S$145,4,FALSE)</f>
        <v>#N/A</v>
      </c>
      <c r="F456" s="5" t="s">
        <v>509</v>
      </c>
      <c r="G456" s="5" t="s">
        <v>507</v>
      </c>
      <c r="H456" s="5" t="e">
        <f>VLOOKUP(H454,'IURAN TANAH'!$A$2:$S$145,3,FALSE) &amp;" " &amp;VLOOKUP(H454,'IURAN TANAH'!$A$2:$S$145,4,FALSE)</f>
        <v>#N/A</v>
      </c>
      <c r="J456" s="5" t="s">
        <v>509</v>
      </c>
      <c r="K456" s="5" t="s">
        <v>507</v>
      </c>
      <c r="L456" s="5" t="e">
        <f>VLOOKUP(L454,'IURAN TANAH'!$A$2:$S$145,3,FALSE) &amp;" " &amp;VLOOKUP(L454,'IURAN TANAH'!$A$2:$S$145,4,FALSE)</f>
        <v>#N/A</v>
      </c>
    </row>
    <row r="457" spans="2:12" x14ac:dyDescent="0.25">
      <c r="B457" s="6"/>
      <c r="C457" s="6"/>
      <c r="D457" s="6"/>
      <c r="F457" s="6"/>
      <c r="G457" s="6"/>
      <c r="H457" s="6"/>
      <c r="J457" s="6"/>
      <c r="K457" s="6"/>
      <c r="L457" s="6"/>
    </row>
    <row r="458" spans="2:12" x14ac:dyDescent="0.25">
      <c r="B458" s="5" t="s">
        <v>510</v>
      </c>
      <c r="C458" s="5"/>
      <c r="D458" s="5"/>
      <c r="F458" s="5" t="s">
        <v>510</v>
      </c>
      <c r="G458" s="5"/>
      <c r="H458" s="5"/>
      <c r="J458" s="5" t="s">
        <v>510</v>
      </c>
      <c r="K458" s="5"/>
      <c r="L458" s="5"/>
    </row>
    <row r="459" spans="2:12" x14ac:dyDescent="0.25">
      <c r="B459" s="6" t="s">
        <v>511</v>
      </c>
      <c r="C459" s="6"/>
      <c r="D459" s="39" t="e">
        <f>VLOOKUP(D454,'IURAN TANAH'!$A$2:$S$145,7,FALSE)</f>
        <v>#N/A</v>
      </c>
      <c r="F459" s="6" t="s">
        <v>511</v>
      </c>
      <c r="G459" s="6"/>
      <c r="H459" s="39" t="e">
        <f>VLOOKUP(H454,'IURAN TANAH'!$A$2:$S$145,7,FALSE)</f>
        <v>#N/A</v>
      </c>
      <c r="J459" s="6" t="s">
        <v>511</v>
      </c>
      <c r="K459" s="6"/>
      <c r="L459" s="39" t="e">
        <f>VLOOKUP(L454,'IURAN TANAH'!$A$2:$S$145,7,FALSE)</f>
        <v>#N/A</v>
      </c>
    </row>
    <row r="460" spans="2:12" x14ac:dyDescent="0.25">
      <c r="B460" s="5" t="s">
        <v>512</v>
      </c>
      <c r="C460" s="5"/>
      <c r="D460" s="40" t="e">
        <f>VLOOKUP(D454,'IURAN TANAH'!$A$2:$S$145,8,FALSE)</f>
        <v>#N/A</v>
      </c>
      <c r="F460" s="5" t="s">
        <v>512</v>
      </c>
      <c r="G460" s="5"/>
      <c r="H460" s="40" t="e">
        <f>VLOOKUP(H454,'IURAN TANAH'!$A$2:$S$145,8,FALSE)</f>
        <v>#N/A</v>
      </c>
      <c r="J460" s="5" t="s">
        <v>512</v>
      </c>
      <c r="K460" s="5"/>
      <c r="L460" s="40" t="e">
        <f>VLOOKUP(L454,'IURAN TANAH'!$A$2:$S$145,8,FALSE)</f>
        <v>#N/A</v>
      </c>
    </row>
    <row r="461" spans="2:12" x14ac:dyDescent="0.25">
      <c r="B461" s="6" t="s">
        <v>513</v>
      </c>
      <c r="C461" s="6"/>
      <c r="D461" s="39" t="e">
        <f>VLOOKUP(D454,'IURAN TANAH'!$A$2:$S$145,9,FALSE)</f>
        <v>#N/A</v>
      </c>
      <c r="F461" s="6" t="s">
        <v>513</v>
      </c>
      <c r="G461" s="6"/>
      <c r="H461" s="39" t="e">
        <f>VLOOKUP(H454,'IURAN TANAH'!$A$2:$S$145,9,FALSE)</f>
        <v>#N/A</v>
      </c>
      <c r="J461" s="6" t="s">
        <v>513</v>
      </c>
      <c r="K461" s="6"/>
      <c r="L461" s="39" t="e">
        <f>VLOOKUP(L454,'IURAN TANAH'!$A$2:$S$145,9,FALSE)</f>
        <v>#N/A</v>
      </c>
    </row>
    <row r="462" spans="2:12" x14ac:dyDescent="0.25">
      <c r="B462" s="5" t="s">
        <v>514</v>
      </c>
      <c r="C462" s="5"/>
      <c r="D462" s="40" t="e">
        <f>VLOOKUP(D454,'IURAN TANAH'!$A$2:$S$145,10,FALSE)</f>
        <v>#N/A</v>
      </c>
      <c r="F462" s="5" t="s">
        <v>514</v>
      </c>
      <c r="G462" s="5"/>
      <c r="H462" s="40" t="e">
        <f>VLOOKUP(H454,'IURAN TANAH'!$A$2:$S$145,10,FALSE)</f>
        <v>#N/A</v>
      </c>
      <c r="J462" s="5" t="s">
        <v>514</v>
      </c>
      <c r="K462" s="5"/>
      <c r="L462" s="40" t="e">
        <f>VLOOKUP(L454,'IURAN TANAH'!$A$2:$S$145,10,FALSE)</f>
        <v>#N/A</v>
      </c>
    </row>
    <row r="463" spans="2:12" x14ac:dyDescent="0.25">
      <c r="B463" s="6" t="s">
        <v>515</v>
      </c>
      <c r="C463" s="6"/>
      <c r="D463" s="39" t="e">
        <f>VLOOKUP(D454,'IURAN TANAH'!$A$2:$S$145,11,FALSE)</f>
        <v>#N/A</v>
      </c>
      <c r="F463" s="6" t="s">
        <v>515</v>
      </c>
      <c r="G463" s="6"/>
      <c r="H463" s="39" t="e">
        <f>VLOOKUP(H454,'IURAN TANAH'!$A$2:$S$145,11,FALSE)</f>
        <v>#N/A</v>
      </c>
      <c r="J463" s="6" t="s">
        <v>515</v>
      </c>
      <c r="K463" s="6"/>
      <c r="L463" s="39" t="e">
        <f>VLOOKUP(L454,'IURAN TANAH'!$A$2:$S$145,11,FALSE)</f>
        <v>#N/A</v>
      </c>
    </row>
    <row r="464" spans="2:12" x14ac:dyDescent="0.25">
      <c r="B464" s="5" t="s">
        <v>516</v>
      </c>
      <c r="C464" s="5"/>
      <c r="D464" s="40" t="e">
        <f>VLOOKUP(D454,'IURAN TANAH'!$A$2:$S$145,12,FALSE)</f>
        <v>#N/A</v>
      </c>
      <c r="F464" s="5" t="s">
        <v>516</v>
      </c>
      <c r="G464" s="5"/>
      <c r="H464" s="40" t="e">
        <f>VLOOKUP(H454,'IURAN TANAH'!$A$2:$S$145,12,FALSE)</f>
        <v>#N/A</v>
      </c>
      <c r="J464" s="5" t="s">
        <v>516</v>
      </c>
      <c r="K464" s="5"/>
      <c r="L464" s="40" t="e">
        <f>VLOOKUP(L454,'IURAN TANAH'!$A$2:$S$145,12,FALSE)</f>
        <v>#N/A</v>
      </c>
    </row>
    <row r="465" spans="2:12" x14ac:dyDescent="0.25">
      <c r="B465" s="6" t="s">
        <v>517</v>
      </c>
      <c r="C465" s="6"/>
      <c r="D465" s="39" t="e">
        <f>VLOOKUP(D454,'IURAN TANAH'!$A$2:$S$145,13,FALSE)</f>
        <v>#N/A</v>
      </c>
      <c r="F465" s="6" t="s">
        <v>517</v>
      </c>
      <c r="G465" s="6"/>
      <c r="H465" s="39" t="e">
        <f>VLOOKUP(H454,'IURAN TANAH'!$A$2:$S$145,13,FALSE)</f>
        <v>#N/A</v>
      </c>
      <c r="J465" s="6" t="s">
        <v>517</v>
      </c>
      <c r="K465" s="6"/>
      <c r="L465" s="39" t="e">
        <f>VLOOKUP(L454,'IURAN TANAH'!$A$2:$S$145,13,FALSE)</f>
        <v>#N/A</v>
      </c>
    </row>
    <row r="466" spans="2:12" x14ac:dyDescent="0.25">
      <c r="B466" s="5" t="s">
        <v>518</v>
      </c>
      <c r="C466" s="5"/>
      <c r="D466" s="40" t="e">
        <f>VLOOKUP(D454,'IURAN TANAH'!$A$2:$S$145,14,FALSE)</f>
        <v>#N/A</v>
      </c>
      <c r="F466" s="5" t="s">
        <v>518</v>
      </c>
      <c r="G466" s="5"/>
      <c r="H466" s="40" t="e">
        <f>VLOOKUP(H454,'IURAN TANAH'!$A$2:$S$145,14,FALSE)</f>
        <v>#N/A</v>
      </c>
      <c r="J466" s="5" t="s">
        <v>518</v>
      </c>
      <c r="K466" s="5"/>
      <c r="L466" s="40" t="e">
        <f>VLOOKUP(L454,'IURAN TANAH'!$A$2:$S$145,14,FALSE)</f>
        <v>#N/A</v>
      </c>
    </row>
    <row r="467" spans="2:12" x14ac:dyDescent="0.25">
      <c r="B467" s="6" t="s">
        <v>519</v>
      </c>
      <c r="C467" s="6"/>
      <c r="D467" s="39" t="e">
        <f>VLOOKUP(D454,'IURAN TANAH'!$A$2:$S$145,15,FALSE)</f>
        <v>#N/A</v>
      </c>
      <c r="F467" s="6" t="s">
        <v>519</v>
      </c>
      <c r="G467" s="6"/>
      <c r="H467" s="39" t="e">
        <f>VLOOKUP(H454,'IURAN TANAH'!$A$2:$S$145,15,FALSE)</f>
        <v>#N/A</v>
      </c>
      <c r="J467" s="6" t="s">
        <v>519</v>
      </c>
      <c r="K467" s="6"/>
      <c r="L467" s="39" t="e">
        <f>VLOOKUP(L454,'IURAN TANAH'!$A$2:$S$145,15,FALSE)</f>
        <v>#N/A</v>
      </c>
    </row>
    <row r="468" spans="2:12" x14ac:dyDescent="0.25">
      <c r="B468" s="5" t="s">
        <v>520</v>
      </c>
      <c r="C468" s="5"/>
      <c r="D468" s="40" t="e">
        <f>VLOOKUP(D454,'IURAN TANAH'!$A$2:$S$145,16,FALSE)</f>
        <v>#N/A</v>
      </c>
      <c r="F468" s="5" t="s">
        <v>520</v>
      </c>
      <c r="G468" s="5"/>
      <c r="H468" s="40" t="e">
        <f>VLOOKUP(H454,'IURAN TANAH'!$A$2:$S$145,16,FALSE)</f>
        <v>#N/A</v>
      </c>
      <c r="J468" s="5" t="s">
        <v>520</v>
      </c>
      <c r="K468" s="5"/>
      <c r="L468" s="40" t="e">
        <f>VLOOKUP(L454,'IURAN TANAH'!$A$2:$S$145,16,FALSE)</f>
        <v>#N/A</v>
      </c>
    </row>
    <row r="469" spans="2:12" ht="18.75" customHeight="1" x14ac:dyDescent="0.3">
      <c r="B469" s="7" t="s">
        <v>21</v>
      </c>
      <c r="C469" s="7"/>
      <c r="D469" s="41" t="e">
        <f>SUM(D459:D468)</f>
        <v>#N/A</v>
      </c>
      <c r="F469" s="7" t="s">
        <v>21</v>
      </c>
      <c r="G469" s="7"/>
      <c r="H469" s="41" t="e">
        <f>SUM(H459:H468)</f>
        <v>#N/A</v>
      </c>
      <c r="J469" s="7" t="s">
        <v>21</v>
      </c>
      <c r="K469" s="7"/>
      <c r="L469" s="41" t="e">
        <f>SUM(L459:L468)</f>
        <v>#N/A</v>
      </c>
    </row>
    <row r="470" spans="2:12" x14ac:dyDescent="0.25">
      <c r="B470" s="5"/>
      <c r="C470" s="5"/>
      <c r="D470" s="5"/>
      <c r="F470" s="5"/>
      <c r="G470" s="5"/>
      <c r="H470" s="5"/>
      <c r="J470" s="5"/>
      <c r="K470" s="5"/>
      <c r="L470" s="5"/>
    </row>
    <row r="472" spans="2:12" x14ac:dyDescent="0.25">
      <c r="B472" s="5" t="s">
        <v>2</v>
      </c>
      <c r="C472" s="5" t="s">
        <v>507</v>
      </c>
      <c r="D472" s="5">
        <v>79</v>
      </c>
      <c r="F472" s="5" t="s">
        <v>2</v>
      </c>
      <c r="G472" s="5" t="s">
        <v>507</v>
      </c>
      <c r="H472" s="5">
        <v>80</v>
      </c>
      <c r="J472" s="5" t="s">
        <v>2</v>
      </c>
      <c r="K472" s="5" t="s">
        <v>507</v>
      </c>
      <c r="L472" s="5">
        <v>81</v>
      </c>
    </row>
    <row r="473" spans="2:12" x14ac:dyDescent="0.25">
      <c r="B473" s="6" t="s">
        <v>508</v>
      </c>
      <c r="C473" s="6" t="s">
        <v>507</v>
      </c>
      <c r="D473" s="6" t="e">
        <f>VLOOKUP(D472,'IURAN TANAH'!$A$2:$S$145,2,FALSE)</f>
        <v>#N/A</v>
      </c>
      <c r="F473" s="6" t="s">
        <v>508</v>
      </c>
      <c r="G473" s="6" t="s">
        <v>507</v>
      </c>
      <c r="H473" s="6" t="e">
        <f>VLOOKUP(H472,'IURAN TANAH'!$A$2:$S$145,2,FALSE)</f>
        <v>#N/A</v>
      </c>
      <c r="J473" s="6" t="s">
        <v>508</v>
      </c>
      <c r="K473" s="6" t="s">
        <v>507</v>
      </c>
      <c r="L473" s="6" t="e">
        <f>VLOOKUP(L472,'IURAN TANAH'!$A$2:$S$145,2,FALSE)</f>
        <v>#N/A</v>
      </c>
    </row>
    <row r="474" spans="2:12" x14ac:dyDescent="0.25">
      <c r="B474" s="5" t="s">
        <v>509</v>
      </c>
      <c r="C474" s="5" t="s">
        <v>507</v>
      </c>
      <c r="D474" s="5" t="e">
        <f>VLOOKUP(D472,'IURAN TANAH'!$A$2:$S$145,3,FALSE) &amp;" " &amp;VLOOKUP(D472,'IURAN TANAH'!$A$2:$S$145,4,FALSE)</f>
        <v>#N/A</v>
      </c>
      <c r="F474" s="5" t="s">
        <v>509</v>
      </c>
      <c r="G474" s="5" t="s">
        <v>507</v>
      </c>
      <c r="H474" s="5" t="e">
        <f>VLOOKUP(H472,'IURAN TANAH'!$A$2:$S$145,3,FALSE) &amp;" " &amp;VLOOKUP(H472,'IURAN TANAH'!$A$2:$S$145,4,FALSE)</f>
        <v>#N/A</v>
      </c>
      <c r="J474" s="5" t="s">
        <v>509</v>
      </c>
      <c r="K474" s="5" t="s">
        <v>507</v>
      </c>
      <c r="L474" s="5" t="e">
        <f>VLOOKUP(L472,'IURAN TANAH'!$A$2:$S$145,3,FALSE) &amp;" " &amp;VLOOKUP(L472,'IURAN TANAH'!$A$2:$S$145,4,FALSE)</f>
        <v>#N/A</v>
      </c>
    </row>
    <row r="475" spans="2:12" x14ac:dyDescent="0.25">
      <c r="B475" s="6"/>
      <c r="C475" s="6"/>
      <c r="D475" s="6"/>
      <c r="F475" s="6"/>
      <c r="G475" s="6"/>
      <c r="H475" s="6"/>
      <c r="J475" s="6"/>
      <c r="K475" s="6"/>
      <c r="L475" s="6"/>
    </row>
    <row r="476" spans="2:12" x14ac:dyDescent="0.25">
      <c r="B476" s="5" t="s">
        <v>510</v>
      </c>
      <c r="C476" s="5"/>
      <c r="D476" s="5"/>
      <c r="F476" s="5" t="s">
        <v>510</v>
      </c>
      <c r="G476" s="5"/>
      <c r="H476" s="5"/>
      <c r="J476" s="5" t="s">
        <v>510</v>
      </c>
      <c r="K476" s="5"/>
      <c r="L476" s="5"/>
    </row>
    <row r="477" spans="2:12" x14ac:dyDescent="0.25">
      <c r="B477" s="6" t="s">
        <v>511</v>
      </c>
      <c r="C477" s="6"/>
      <c r="D477" s="39" t="e">
        <f>VLOOKUP(D472,'IURAN TANAH'!$A$2:$S$145,7,FALSE)</f>
        <v>#N/A</v>
      </c>
      <c r="F477" s="6" t="s">
        <v>511</v>
      </c>
      <c r="G477" s="6"/>
      <c r="H477" s="39" t="e">
        <f>VLOOKUP(H472,'IURAN TANAH'!$A$2:$S$145,7,FALSE)</f>
        <v>#N/A</v>
      </c>
      <c r="J477" s="6" t="s">
        <v>511</v>
      </c>
      <c r="K477" s="6"/>
      <c r="L477" s="39" t="e">
        <f>VLOOKUP(L472,'IURAN TANAH'!$A$2:$S$145,7,FALSE)</f>
        <v>#N/A</v>
      </c>
    </row>
    <row r="478" spans="2:12" x14ac:dyDescent="0.25">
      <c r="B478" s="5" t="s">
        <v>512</v>
      </c>
      <c r="C478" s="5"/>
      <c r="D478" s="40" t="e">
        <f>VLOOKUP(D472,'IURAN TANAH'!$A$2:$S$145,8,FALSE)</f>
        <v>#N/A</v>
      </c>
      <c r="F478" s="5" t="s">
        <v>512</v>
      </c>
      <c r="G478" s="5"/>
      <c r="H478" s="40" t="e">
        <f>VLOOKUP(H472,'IURAN TANAH'!$A$2:$S$145,8,FALSE)</f>
        <v>#N/A</v>
      </c>
      <c r="J478" s="5" t="s">
        <v>512</v>
      </c>
      <c r="K478" s="5"/>
      <c r="L478" s="40" t="e">
        <f>VLOOKUP(L472,'IURAN TANAH'!$A$2:$S$145,8,FALSE)</f>
        <v>#N/A</v>
      </c>
    </row>
    <row r="479" spans="2:12" x14ac:dyDescent="0.25">
      <c r="B479" s="6" t="s">
        <v>513</v>
      </c>
      <c r="C479" s="6"/>
      <c r="D479" s="39" t="e">
        <f>VLOOKUP(D472,'IURAN TANAH'!$A$2:$S$145,9,FALSE)</f>
        <v>#N/A</v>
      </c>
      <c r="F479" s="6" t="s">
        <v>513</v>
      </c>
      <c r="G479" s="6"/>
      <c r="H479" s="39" t="e">
        <f>VLOOKUP(H472,'IURAN TANAH'!$A$2:$S$145,9,FALSE)</f>
        <v>#N/A</v>
      </c>
      <c r="J479" s="6" t="s">
        <v>513</v>
      </c>
      <c r="K479" s="6"/>
      <c r="L479" s="39" t="e">
        <f>VLOOKUP(L472,'IURAN TANAH'!$A$2:$S$145,9,FALSE)</f>
        <v>#N/A</v>
      </c>
    </row>
    <row r="480" spans="2:12" x14ac:dyDescent="0.25">
      <c r="B480" s="5" t="s">
        <v>514</v>
      </c>
      <c r="C480" s="5"/>
      <c r="D480" s="40" t="e">
        <f>VLOOKUP(D472,'IURAN TANAH'!$A$2:$S$145,10,FALSE)</f>
        <v>#N/A</v>
      </c>
      <c r="F480" s="5" t="s">
        <v>514</v>
      </c>
      <c r="G480" s="5"/>
      <c r="H480" s="40" t="e">
        <f>VLOOKUP(H472,'IURAN TANAH'!$A$2:$S$145,10,FALSE)</f>
        <v>#N/A</v>
      </c>
      <c r="J480" s="5" t="s">
        <v>514</v>
      </c>
      <c r="K480" s="5"/>
      <c r="L480" s="40" t="e">
        <f>VLOOKUP(L472,'IURAN TANAH'!$A$2:$S$145,10,FALSE)</f>
        <v>#N/A</v>
      </c>
    </row>
    <row r="481" spans="2:12" x14ac:dyDescent="0.25">
      <c r="B481" s="6" t="s">
        <v>515</v>
      </c>
      <c r="C481" s="6"/>
      <c r="D481" s="39" t="e">
        <f>VLOOKUP(D472,'IURAN TANAH'!$A$2:$S$145,11,FALSE)</f>
        <v>#N/A</v>
      </c>
      <c r="F481" s="6" t="s">
        <v>515</v>
      </c>
      <c r="G481" s="6"/>
      <c r="H481" s="39" t="e">
        <f>VLOOKUP(H472,'IURAN TANAH'!$A$2:$S$145,11,FALSE)</f>
        <v>#N/A</v>
      </c>
      <c r="J481" s="6" t="s">
        <v>515</v>
      </c>
      <c r="K481" s="6"/>
      <c r="L481" s="39" t="e">
        <f>VLOOKUP(L472,'IURAN TANAH'!$A$2:$S$145,11,FALSE)</f>
        <v>#N/A</v>
      </c>
    </row>
    <row r="482" spans="2:12" x14ac:dyDescent="0.25">
      <c r="B482" s="5" t="s">
        <v>516</v>
      </c>
      <c r="C482" s="5"/>
      <c r="D482" s="40" t="e">
        <f>VLOOKUP(D472,'IURAN TANAH'!$A$2:$S$145,12,FALSE)</f>
        <v>#N/A</v>
      </c>
      <c r="F482" s="5" t="s">
        <v>516</v>
      </c>
      <c r="G482" s="5"/>
      <c r="H482" s="40" t="e">
        <f>VLOOKUP(H472,'IURAN TANAH'!$A$2:$S$145,12,FALSE)</f>
        <v>#N/A</v>
      </c>
      <c r="J482" s="5" t="s">
        <v>516</v>
      </c>
      <c r="K482" s="5"/>
      <c r="L482" s="40" t="e">
        <f>VLOOKUP(L472,'IURAN TANAH'!$A$2:$S$145,12,FALSE)</f>
        <v>#N/A</v>
      </c>
    </row>
    <row r="483" spans="2:12" x14ac:dyDescent="0.25">
      <c r="B483" s="6" t="s">
        <v>517</v>
      </c>
      <c r="C483" s="6"/>
      <c r="D483" s="39" t="e">
        <f>VLOOKUP(D472,'IURAN TANAH'!$A$2:$S$145,13,FALSE)</f>
        <v>#N/A</v>
      </c>
      <c r="F483" s="6" t="s">
        <v>517</v>
      </c>
      <c r="G483" s="6"/>
      <c r="H483" s="39" t="e">
        <f>VLOOKUP(H472,'IURAN TANAH'!$A$2:$S$145,13,FALSE)</f>
        <v>#N/A</v>
      </c>
      <c r="J483" s="6" t="s">
        <v>517</v>
      </c>
      <c r="K483" s="6"/>
      <c r="L483" s="39" t="e">
        <f>VLOOKUP(L472,'IURAN TANAH'!$A$2:$S$145,13,FALSE)</f>
        <v>#N/A</v>
      </c>
    </row>
    <row r="484" spans="2:12" x14ac:dyDescent="0.25">
      <c r="B484" s="5" t="s">
        <v>518</v>
      </c>
      <c r="C484" s="5"/>
      <c r="D484" s="40" t="e">
        <f>VLOOKUP(D472,'IURAN TANAH'!$A$2:$S$145,14,FALSE)</f>
        <v>#N/A</v>
      </c>
      <c r="F484" s="5" t="s">
        <v>518</v>
      </c>
      <c r="G484" s="5"/>
      <c r="H484" s="40" t="e">
        <f>VLOOKUP(H472,'IURAN TANAH'!$A$2:$S$145,14,FALSE)</f>
        <v>#N/A</v>
      </c>
      <c r="J484" s="5" t="s">
        <v>518</v>
      </c>
      <c r="K484" s="5"/>
      <c r="L484" s="40" t="e">
        <f>VLOOKUP(L472,'IURAN TANAH'!$A$2:$S$145,14,FALSE)</f>
        <v>#N/A</v>
      </c>
    </row>
    <row r="485" spans="2:12" x14ac:dyDescent="0.25">
      <c r="B485" s="6" t="s">
        <v>519</v>
      </c>
      <c r="C485" s="6"/>
      <c r="D485" s="39" t="e">
        <f>VLOOKUP(D472,'IURAN TANAH'!$A$2:$S$145,15,FALSE)</f>
        <v>#N/A</v>
      </c>
      <c r="F485" s="6" t="s">
        <v>519</v>
      </c>
      <c r="G485" s="6"/>
      <c r="H485" s="39" t="e">
        <f>VLOOKUP(H472,'IURAN TANAH'!$A$2:$S$145,15,FALSE)</f>
        <v>#N/A</v>
      </c>
      <c r="J485" s="6" t="s">
        <v>519</v>
      </c>
      <c r="K485" s="6"/>
      <c r="L485" s="39" t="e">
        <f>VLOOKUP(L472,'IURAN TANAH'!$A$2:$S$145,15,FALSE)</f>
        <v>#N/A</v>
      </c>
    </row>
    <row r="486" spans="2:12" x14ac:dyDescent="0.25">
      <c r="B486" s="5" t="s">
        <v>520</v>
      </c>
      <c r="C486" s="5"/>
      <c r="D486" s="40" t="e">
        <f>VLOOKUP(D472,'IURAN TANAH'!$A$2:$S$145,16,FALSE)</f>
        <v>#N/A</v>
      </c>
      <c r="F486" s="5" t="s">
        <v>520</v>
      </c>
      <c r="G486" s="5"/>
      <c r="H486" s="40" t="e">
        <f>VLOOKUP(H472,'IURAN TANAH'!$A$2:$S$145,16,FALSE)</f>
        <v>#N/A</v>
      </c>
      <c r="J486" s="5" t="s">
        <v>520</v>
      </c>
      <c r="K486" s="5"/>
      <c r="L486" s="40" t="e">
        <f>VLOOKUP(L472,'IURAN TANAH'!$A$2:$S$145,16,FALSE)</f>
        <v>#N/A</v>
      </c>
    </row>
    <row r="487" spans="2:12" ht="18.75" customHeight="1" x14ac:dyDescent="0.3">
      <c r="B487" s="7" t="s">
        <v>21</v>
      </c>
      <c r="C487" s="7"/>
      <c r="D487" s="41" t="e">
        <f>SUM(D477:D486)</f>
        <v>#N/A</v>
      </c>
      <c r="F487" s="7" t="s">
        <v>21</v>
      </c>
      <c r="G487" s="7"/>
      <c r="H487" s="41" t="e">
        <f>SUM(H477:H486)</f>
        <v>#N/A</v>
      </c>
      <c r="J487" s="7" t="s">
        <v>21</v>
      </c>
      <c r="K487" s="7"/>
      <c r="L487" s="41" t="e">
        <f>SUM(L477:L486)</f>
        <v>#N/A</v>
      </c>
    </row>
    <row r="488" spans="2:12" x14ac:dyDescent="0.25">
      <c r="B488" s="5"/>
      <c r="C488" s="5"/>
      <c r="D488" s="5"/>
      <c r="F488" s="5"/>
      <c r="G488" s="5"/>
      <c r="H488" s="5"/>
      <c r="J488" s="5"/>
      <c r="K488" s="5"/>
      <c r="L488" s="5"/>
    </row>
    <row r="490" spans="2:12" x14ac:dyDescent="0.25">
      <c r="B490" s="5" t="s">
        <v>2</v>
      </c>
      <c r="C490" s="5" t="s">
        <v>507</v>
      </c>
      <c r="D490" s="5">
        <v>82</v>
      </c>
      <c r="F490" s="5" t="s">
        <v>2</v>
      </c>
      <c r="G490" s="5" t="s">
        <v>507</v>
      </c>
      <c r="H490" s="5">
        <v>83</v>
      </c>
      <c r="J490" s="5" t="s">
        <v>2</v>
      </c>
      <c r="K490" s="5" t="s">
        <v>507</v>
      </c>
      <c r="L490" s="5">
        <v>84</v>
      </c>
    </row>
    <row r="491" spans="2:12" x14ac:dyDescent="0.25">
      <c r="B491" s="6" t="s">
        <v>508</v>
      </c>
      <c r="C491" s="6" t="s">
        <v>507</v>
      </c>
      <c r="D491" s="6" t="e">
        <f>VLOOKUP(D490,'IURAN TANAH'!$A$2:$S$145,2,FALSE)</f>
        <v>#N/A</v>
      </c>
      <c r="F491" s="6" t="s">
        <v>508</v>
      </c>
      <c r="G491" s="6" t="s">
        <v>507</v>
      </c>
      <c r="H491" s="6" t="e">
        <f>VLOOKUP(H490,'IURAN TANAH'!$A$2:$S$145,2,FALSE)</f>
        <v>#N/A</v>
      </c>
      <c r="J491" s="6" t="s">
        <v>508</v>
      </c>
      <c r="K491" s="6" t="s">
        <v>507</v>
      </c>
      <c r="L491" s="6" t="e">
        <f>VLOOKUP(L490,'IURAN TANAH'!$A$2:$S$145,2,FALSE)</f>
        <v>#N/A</v>
      </c>
    </row>
    <row r="492" spans="2:12" x14ac:dyDescent="0.25">
      <c r="B492" s="5" t="s">
        <v>509</v>
      </c>
      <c r="C492" s="5" t="s">
        <v>507</v>
      </c>
      <c r="D492" s="5" t="e">
        <f>VLOOKUP(D490,'IURAN TANAH'!$A$2:$S$145,3,FALSE) &amp;" " &amp;VLOOKUP(D490,'IURAN TANAH'!$A$2:$S$145,4,FALSE)</f>
        <v>#N/A</v>
      </c>
      <c r="F492" s="5" t="s">
        <v>509</v>
      </c>
      <c r="G492" s="5" t="s">
        <v>507</v>
      </c>
      <c r="H492" s="5" t="e">
        <f>VLOOKUP(H490,'IURAN TANAH'!$A$2:$S$145,3,FALSE) &amp;" " &amp;VLOOKUP(H490,'IURAN TANAH'!$A$2:$S$145,4,FALSE)</f>
        <v>#N/A</v>
      </c>
      <c r="J492" s="5" t="s">
        <v>509</v>
      </c>
      <c r="K492" s="5" t="s">
        <v>507</v>
      </c>
      <c r="L492" s="5" t="e">
        <f>VLOOKUP(L490,'IURAN TANAH'!$A$2:$S$145,3,FALSE) &amp;" " &amp;VLOOKUP(L490,'IURAN TANAH'!$A$2:$S$145,4,FALSE)</f>
        <v>#N/A</v>
      </c>
    </row>
    <row r="493" spans="2:12" x14ac:dyDescent="0.25">
      <c r="B493" s="6"/>
      <c r="C493" s="6"/>
      <c r="D493" s="6"/>
      <c r="F493" s="6"/>
      <c r="G493" s="6"/>
      <c r="H493" s="6"/>
      <c r="J493" s="6"/>
      <c r="K493" s="6"/>
      <c r="L493" s="6"/>
    </row>
    <row r="494" spans="2:12" x14ac:dyDescent="0.25">
      <c r="B494" s="5" t="s">
        <v>510</v>
      </c>
      <c r="C494" s="5"/>
      <c r="D494" s="5"/>
      <c r="F494" s="5" t="s">
        <v>510</v>
      </c>
      <c r="G494" s="5"/>
      <c r="H494" s="5"/>
      <c r="J494" s="5" t="s">
        <v>510</v>
      </c>
      <c r="K494" s="5"/>
      <c r="L494" s="5"/>
    </row>
    <row r="495" spans="2:12" x14ac:dyDescent="0.25">
      <c r="B495" s="6" t="s">
        <v>511</v>
      </c>
      <c r="C495" s="6"/>
      <c r="D495" s="39" t="e">
        <f>VLOOKUP(D490,'IURAN TANAH'!$A$2:$S$145,7,FALSE)</f>
        <v>#N/A</v>
      </c>
      <c r="F495" s="6" t="s">
        <v>511</v>
      </c>
      <c r="G495" s="6"/>
      <c r="H495" s="39" t="e">
        <f>VLOOKUP(H490,'IURAN TANAH'!$A$2:$S$145,7,FALSE)</f>
        <v>#N/A</v>
      </c>
      <c r="J495" s="6" t="s">
        <v>511</v>
      </c>
      <c r="K495" s="6"/>
      <c r="L495" s="39" t="e">
        <f>VLOOKUP(L490,'IURAN TANAH'!$A$2:$S$145,7,FALSE)</f>
        <v>#N/A</v>
      </c>
    </row>
    <row r="496" spans="2:12" x14ac:dyDescent="0.25">
      <c r="B496" s="5" t="s">
        <v>512</v>
      </c>
      <c r="C496" s="5"/>
      <c r="D496" s="40" t="e">
        <f>VLOOKUP(D490,'IURAN TANAH'!$A$2:$S$145,8,FALSE)</f>
        <v>#N/A</v>
      </c>
      <c r="F496" s="5" t="s">
        <v>512</v>
      </c>
      <c r="G496" s="5"/>
      <c r="H496" s="40" t="e">
        <f>VLOOKUP(H490,'IURAN TANAH'!$A$2:$S$145,8,FALSE)</f>
        <v>#N/A</v>
      </c>
      <c r="J496" s="5" t="s">
        <v>512</v>
      </c>
      <c r="K496" s="5"/>
      <c r="L496" s="40" t="e">
        <f>VLOOKUP(L490,'IURAN TANAH'!$A$2:$S$145,8,FALSE)</f>
        <v>#N/A</v>
      </c>
    </row>
    <row r="497" spans="2:12" x14ac:dyDescent="0.25">
      <c r="B497" s="6" t="s">
        <v>513</v>
      </c>
      <c r="C497" s="6"/>
      <c r="D497" s="39" t="e">
        <f>VLOOKUP(D490,'IURAN TANAH'!$A$2:$S$145,9,FALSE)</f>
        <v>#N/A</v>
      </c>
      <c r="F497" s="6" t="s">
        <v>513</v>
      </c>
      <c r="G497" s="6"/>
      <c r="H497" s="39" t="e">
        <f>VLOOKUP(H490,'IURAN TANAH'!$A$2:$S$145,9,FALSE)</f>
        <v>#N/A</v>
      </c>
      <c r="J497" s="6" t="s">
        <v>513</v>
      </c>
      <c r="K497" s="6"/>
      <c r="L497" s="39" t="e">
        <f>VLOOKUP(L490,'IURAN TANAH'!$A$2:$S$145,9,FALSE)</f>
        <v>#N/A</v>
      </c>
    </row>
    <row r="498" spans="2:12" x14ac:dyDescent="0.25">
      <c r="B498" s="5" t="s">
        <v>514</v>
      </c>
      <c r="C498" s="5"/>
      <c r="D498" s="40" t="e">
        <f>VLOOKUP(D490,'IURAN TANAH'!$A$2:$S$145,10,FALSE)</f>
        <v>#N/A</v>
      </c>
      <c r="F498" s="5" t="s">
        <v>514</v>
      </c>
      <c r="G498" s="5"/>
      <c r="H498" s="40" t="e">
        <f>VLOOKUP(H490,'IURAN TANAH'!$A$2:$S$145,10,FALSE)</f>
        <v>#N/A</v>
      </c>
      <c r="J498" s="5" t="s">
        <v>514</v>
      </c>
      <c r="K498" s="5"/>
      <c r="L498" s="40" t="e">
        <f>VLOOKUP(L490,'IURAN TANAH'!$A$2:$S$145,10,FALSE)</f>
        <v>#N/A</v>
      </c>
    </row>
    <row r="499" spans="2:12" x14ac:dyDescent="0.25">
      <c r="B499" s="6" t="s">
        <v>515</v>
      </c>
      <c r="C499" s="6"/>
      <c r="D499" s="39" t="e">
        <f>VLOOKUP(D490,'IURAN TANAH'!$A$2:$S$145,11,FALSE)</f>
        <v>#N/A</v>
      </c>
      <c r="F499" s="6" t="s">
        <v>515</v>
      </c>
      <c r="G499" s="6"/>
      <c r="H499" s="39" t="e">
        <f>VLOOKUP(H490,'IURAN TANAH'!$A$2:$S$145,11,FALSE)</f>
        <v>#N/A</v>
      </c>
      <c r="J499" s="6" t="s">
        <v>515</v>
      </c>
      <c r="K499" s="6"/>
      <c r="L499" s="39" t="e">
        <f>VLOOKUP(L490,'IURAN TANAH'!$A$2:$S$145,11,FALSE)</f>
        <v>#N/A</v>
      </c>
    </row>
    <row r="500" spans="2:12" x14ac:dyDescent="0.25">
      <c r="B500" s="5" t="s">
        <v>516</v>
      </c>
      <c r="C500" s="5"/>
      <c r="D500" s="40" t="e">
        <f>VLOOKUP(D490,'IURAN TANAH'!$A$2:$S$145,12,FALSE)</f>
        <v>#N/A</v>
      </c>
      <c r="F500" s="5" t="s">
        <v>516</v>
      </c>
      <c r="G500" s="5"/>
      <c r="H500" s="40" t="e">
        <f>VLOOKUP(H490,'IURAN TANAH'!$A$2:$S$145,12,FALSE)</f>
        <v>#N/A</v>
      </c>
      <c r="J500" s="5" t="s">
        <v>516</v>
      </c>
      <c r="K500" s="5"/>
      <c r="L500" s="40" t="e">
        <f>VLOOKUP(L490,'IURAN TANAH'!$A$2:$S$145,12,FALSE)</f>
        <v>#N/A</v>
      </c>
    </row>
    <row r="501" spans="2:12" x14ac:dyDescent="0.25">
      <c r="B501" s="6" t="s">
        <v>517</v>
      </c>
      <c r="C501" s="6"/>
      <c r="D501" s="39" t="e">
        <f>VLOOKUP(D490,'IURAN TANAH'!$A$2:$S$145,13,FALSE)</f>
        <v>#N/A</v>
      </c>
      <c r="F501" s="6" t="s">
        <v>517</v>
      </c>
      <c r="G501" s="6"/>
      <c r="H501" s="39" t="e">
        <f>VLOOKUP(H490,'IURAN TANAH'!$A$2:$S$145,13,FALSE)</f>
        <v>#N/A</v>
      </c>
      <c r="J501" s="6" t="s">
        <v>517</v>
      </c>
      <c r="K501" s="6"/>
      <c r="L501" s="39" t="e">
        <f>VLOOKUP(L490,'IURAN TANAH'!$A$2:$S$145,13,FALSE)</f>
        <v>#N/A</v>
      </c>
    </row>
    <row r="502" spans="2:12" x14ac:dyDescent="0.25">
      <c r="B502" s="5" t="s">
        <v>518</v>
      </c>
      <c r="C502" s="5"/>
      <c r="D502" s="40" t="e">
        <f>VLOOKUP(D490,'IURAN TANAH'!$A$2:$S$145,14,FALSE)</f>
        <v>#N/A</v>
      </c>
      <c r="F502" s="5" t="s">
        <v>518</v>
      </c>
      <c r="G502" s="5"/>
      <c r="H502" s="40" t="e">
        <f>VLOOKUP(H490,'IURAN TANAH'!$A$2:$S$145,14,FALSE)</f>
        <v>#N/A</v>
      </c>
      <c r="J502" s="5" t="s">
        <v>518</v>
      </c>
      <c r="K502" s="5"/>
      <c r="L502" s="40" t="e">
        <f>VLOOKUP(L490,'IURAN TANAH'!$A$2:$S$145,14,FALSE)</f>
        <v>#N/A</v>
      </c>
    </row>
    <row r="503" spans="2:12" x14ac:dyDescent="0.25">
      <c r="B503" s="6" t="s">
        <v>519</v>
      </c>
      <c r="C503" s="6"/>
      <c r="D503" s="39" t="e">
        <f>VLOOKUP(D490,'IURAN TANAH'!$A$2:$S$145,15,FALSE)</f>
        <v>#N/A</v>
      </c>
      <c r="F503" s="6" t="s">
        <v>519</v>
      </c>
      <c r="G503" s="6"/>
      <c r="H503" s="39" t="e">
        <f>VLOOKUP(H490,'IURAN TANAH'!$A$2:$S$145,15,FALSE)</f>
        <v>#N/A</v>
      </c>
      <c r="J503" s="6" t="s">
        <v>519</v>
      </c>
      <c r="K503" s="6"/>
      <c r="L503" s="39" t="e">
        <f>VLOOKUP(L490,'IURAN TANAH'!$A$2:$S$145,15,FALSE)</f>
        <v>#N/A</v>
      </c>
    </row>
    <row r="504" spans="2:12" x14ac:dyDescent="0.25">
      <c r="B504" s="5" t="s">
        <v>520</v>
      </c>
      <c r="C504" s="5"/>
      <c r="D504" s="40" t="e">
        <f>VLOOKUP(D490,'IURAN TANAH'!$A$2:$S$145,16,FALSE)</f>
        <v>#N/A</v>
      </c>
      <c r="F504" s="5" t="s">
        <v>520</v>
      </c>
      <c r="G504" s="5"/>
      <c r="H504" s="40" t="e">
        <f>VLOOKUP(H490,'IURAN TANAH'!$A$2:$S$145,16,FALSE)</f>
        <v>#N/A</v>
      </c>
      <c r="J504" s="5" t="s">
        <v>520</v>
      </c>
      <c r="K504" s="5"/>
      <c r="L504" s="40" t="e">
        <f>VLOOKUP(L490,'IURAN TANAH'!$A$2:$S$145,16,FALSE)</f>
        <v>#N/A</v>
      </c>
    </row>
    <row r="505" spans="2:12" ht="18.75" customHeight="1" x14ac:dyDescent="0.3">
      <c r="B505" s="7" t="s">
        <v>21</v>
      </c>
      <c r="C505" s="7"/>
      <c r="D505" s="41" t="e">
        <f>SUM(D495:D504)</f>
        <v>#N/A</v>
      </c>
      <c r="F505" s="7" t="s">
        <v>21</v>
      </c>
      <c r="G505" s="7"/>
      <c r="H505" s="41" t="e">
        <f>SUM(H495:H504)</f>
        <v>#N/A</v>
      </c>
      <c r="J505" s="7" t="s">
        <v>21</v>
      </c>
      <c r="K505" s="7"/>
      <c r="L505" s="41" t="e">
        <f>SUM(L495:L504)</f>
        <v>#N/A</v>
      </c>
    </row>
    <row r="506" spans="2:12" x14ac:dyDescent="0.25">
      <c r="B506" s="5"/>
      <c r="C506" s="5"/>
      <c r="D506" s="5"/>
      <c r="F506" s="5"/>
      <c r="G506" s="5"/>
      <c r="H506" s="5"/>
      <c r="J506" s="5"/>
      <c r="K506" s="5"/>
      <c r="L506" s="5"/>
    </row>
    <row r="508" spans="2:12" x14ac:dyDescent="0.25">
      <c r="B508" s="5" t="s">
        <v>2</v>
      </c>
      <c r="C508" s="5" t="s">
        <v>507</v>
      </c>
      <c r="D508" s="5">
        <v>85</v>
      </c>
      <c r="F508" s="5" t="s">
        <v>2</v>
      </c>
      <c r="G508" s="5" t="s">
        <v>507</v>
      </c>
      <c r="H508" s="5">
        <v>86</v>
      </c>
      <c r="J508" s="5" t="s">
        <v>2</v>
      </c>
      <c r="K508" s="5" t="s">
        <v>507</v>
      </c>
      <c r="L508" s="5">
        <v>87</v>
      </c>
    </row>
    <row r="509" spans="2:12" x14ac:dyDescent="0.25">
      <c r="B509" s="6" t="s">
        <v>508</v>
      </c>
      <c r="C509" s="6" t="s">
        <v>507</v>
      </c>
      <c r="D509" s="6" t="e">
        <f>VLOOKUP(D508,'IURAN TANAH'!$A$2:$S$145,2,FALSE)</f>
        <v>#N/A</v>
      </c>
      <c r="F509" s="6" t="s">
        <v>508</v>
      </c>
      <c r="G509" s="6" t="s">
        <v>507</v>
      </c>
      <c r="H509" s="6" t="e">
        <f>VLOOKUP(H508,'IURAN TANAH'!$A$2:$S$145,2,FALSE)</f>
        <v>#N/A</v>
      </c>
      <c r="J509" s="6" t="s">
        <v>508</v>
      </c>
      <c r="K509" s="6" t="s">
        <v>507</v>
      </c>
      <c r="L509" s="6" t="e">
        <f>VLOOKUP(L508,'IURAN TANAH'!$A$2:$S$145,2,FALSE)</f>
        <v>#N/A</v>
      </c>
    </row>
    <row r="510" spans="2:12" x14ac:dyDescent="0.25">
      <c r="B510" s="5" t="s">
        <v>509</v>
      </c>
      <c r="C510" s="5" t="s">
        <v>507</v>
      </c>
      <c r="D510" s="5" t="e">
        <f>VLOOKUP(D508,'IURAN TANAH'!$A$2:$S$145,3,FALSE) &amp;" " &amp;VLOOKUP(D508,'IURAN TANAH'!$A$2:$S$145,4,FALSE)</f>
        <v>#N/A</v>
      </c>
      <c r="F510" s="5" t="s">
        <v>509</v>
      </c>
      <c r="G510" s="5" t="s">
        <v>507</v>
      </c>
      <c r="H510" s="5" t="e">
        <f>VLOOKUP(H508,'IURAN TANAH'!$A$2:$S$145,3,FALSE) &amp;" " &amp;VLOOKUP(H508,'IURAN TANAH'!$A$2:$S$145,4,FALSE)</f>
        <v>#N/A</v>
      </c>
      <c r="J510" s="5" t="s">
        <v>509</v>
      </c>
      <c r="K510" s="5" t="s">
        <v>507</v>
      </c>
      <c r="L510" s="5" t="e">
        <f>VLOOKUP(L508,'IURAN TANAH'!$A$2:$S$145,3,FALSE) &amp;" " &amp;VLOOKUP(L508,'IURAN TANAH'!$A$2:$S$145,4,FALSE)</f>
        <v>#N/A</v>
      </c>
    </row>
    <row r="511" spans="2:12" x14ac:dyDescent="0.25">
      <c r="B511" s="6"/>
      <c r="C511" s="6"/>
      <c r="D511" s="6"/>
      <c r="F511" s="6"/>
      <c r="G511" s="6"/>
      <c r="H511" s="6"/>
      <c r="J511" s="6"/>
      <c r="K511" s="6"/>
      <c r="L511" s="6"/>
    </row>
    <row r="512" spans="2:12" x14ac:dyDescent="0.25">
      <c r="B512" s="5" t="s">
        <v>510</v>
      </c>
      <c r="C512" s="5"/>
      <c r="D512" s="5"/>
      <c r="F512" s="5" t="s">
        <v>510</v>
      </c>
      <c r="G512" s="5"/>
      <c r="H512" s="5"/>
      <c r="J512" s="5" t="s">
        <v>510</v>
      </c>
      <c r="K512" s="5"/>
      <c r="L512" s="5"/>
    </row>
    <row r="513" spans="2:12" x14ac:dyDescent="0.25">
      <c r="B513" s="6" t="s">
        <v>511</v>
      </c>
      <c r="C513" s="6"/>
      <c r="D513" s="39" t="e">
        <f>VLOOKUP(D508,'IURAN TANAH'!$A$2:$S$145,7,FALSE)</f>
        <v>#N/A</v>
      </c>
      <c r="F513" s="6" t="s">
        <v>511</v>
      </c>
      <c r="G513" s="6"/>
      <c r="H513" s="39" t="e">
        <f>VLOOKUP(H508,'IURAN TANAH'!$A$2:$S$145,7,FALSE)</f>
        <v>#N/A</v>
      </c>
      <c r="J513" s="6" t="s">
        <v>511</v>
      </c>
      <c r="K513" s="6"/>
      <c r="L513" s="39" t="e">
        <f>VLOOKUP(L508,'IURAN TANAH'!$A$2:$S$145,7,FALSE)</f>
        <v>#N/A</v>
      </c>
    </row>
    <row r="514" spans="2:12" x14ac:dyDescent="0.25">
      <c r="B514" s="5" t="s">
        <v>512</v>
      </c>
      <c r="C514" s="5"/>
      <c r="D514" s="40" t="e">
        <f>VLOOKUP(D508,'IURAN TANAH'!$A$2:$S$145,8,FALSE)</f>
        <v>#N/A</v>
      </c>
      <c r="F514" s="5" t="s">
        <v>512</v>
      </c>
      <c r="G514" s="5"/>
      <c r="H514" s="40" t="e">
        <f>VLOOKUP(H508,'IURAN TANAH'!$A$2:$S$145,8,FALSE)</f>
        <v>#N/A</v>
      </c>
      <c r="J514" s="5" t="s">
        <v>512</v>
      </c>
      <c r="K514" s="5"/>
      <c r="L514" s="40" t="e">
        <f>VLOOKUP(L508,'IURAN TANAH'!$A$2:$S$145,8,FALSE)</f>
        <v>#N/A</v>
      </c>
    </row>
    <row r="515" spans="2:12" x14ac:dyDescent="0.25">
      <c r="B515" s="6" t="s">
        <v>513</v>
      </c>
      <c r="C515" s="6"/>
      <c r="D515" s="39" t="e">
        <f>VLOOKUP(D508,'IURAN TANAH'!$A$2:$S$145,9,FALSE)</f>
        <v>#N/A</v>
      </c>
      <c r="F515" s="6" t="s">
        <v>513</v>
      </c>
      <c r="G515" s="6"/>
      <c r="H515" s="39" t="e">
        <f>VLOOKUP(H508,'IURAN TANAH'!$A$2:$S$145,9,FALSE)</f>
        <v>#N/A</v>
      </c>
      <c r="J515" s="6" t="s">
        <v>513</v>
      </c>
      <c r="K515" s="6"/>
      <c r="L515" s="39" t="e">
        <f>VLOOKUP(L508,'IURAN TANAH'!$A$2:$S$145,9,FALSE)</f>
        <v>#N/A</v>
      </c>
    </row>
    <row r="516" spans="2:12" x14ac:dyDescent="0.25">
      <c r="B516" s="5" t="s">
        <v>514</v>
      </c>
      <c r="C516" s="5"/>
      <c r="D516" s="40" t="e">
        <f>VLOOKUP(D508,'IURAN TANAH'!$A$2:$S$145,10,FALSE)</f>
        <v>#N/A</v>
      </c>
      <c r="F516" s="5" t="s">
        <v>514</v>
      </c>
      <c r="G516" s="5"/>
      <c r="H516" s="40" t="e">
        <f>VLOOKUP(H508,'IURAN TANAH'!$A$2:$S$145,10,FALSE)</f>
        <v>#N/A</v>
      </c>
      <c r="J516" s="5" t="s">
        <v>514</v>
      </c>
      <c r="K516" s="5"/>
      <c r="L516" s="40" t="e">
        <f>VLOOKUP(L508,'IURAN TANAH'!$A$2:$S$145,10,FALSE)</f>
        <v>#N/A</v>
      </c>
    </row>
    <row r="517" spans="2:12" x14ac:dyDescent="0.25">
      <c r="B517" s="6" t="s">
        <v>515</v>
      </c>
      <c r="C517" s="6"/>
      <c r="D517" s="39" t="e">
        <f>VLOOKUP(D508,'IURAN TANAH'!$A$2:$S$145,11,FALSE)</f>
        <v>#N/A</v>
      </c>
      <c r="F517" s="6" t="s">
        <v>515</v>
      </c>
      <c r="G517" s="6"/>
      <c r="H517" s="39" t="e">
        <f>VLOOKUP(H508,'IURAN TANAH'!$A$2:$S$145,11,FALSE)</f>
        <v>#N/A</v>
      </c>
      <c r="J517" s="6" t="s">
        <v>515</v>
      </c>
      <c r="K517" s="6"/>
      <c r="L517" s="39" t="e">
        <f>VLOOKUP(L508,'IURAN TANAH'!$A$2:$S$145,11,FALSE)</f>
        <v>#N/A</v>
      </c>
    </row>
    <row r="518" spans="2:12" x14ac:dyDescent="0.25">
      <c r="B518" s="5" t="s">
        <v>516</v>
      </c>
      <c r="C518" s="5"/>
      <c r="D518" s="40" t="e">
        <f>VLOOKUP(D508,'IURAN TANAH'!$A$2:$S$145,12,FALSE)</f>
        <v>#N/A</v>
      </c>
      <c r="F518" s="5" t="s">
        <v>516</v>
      </c>
      <c r="G518" s="5"/>
      <c r="H518" s="40" t="e">
        <f>VLOOKUP(H508,'IURAN TANAH'!$A$2:$S$145,12,FALSE)</f>
        <v>#N/A</v>
      </c>
      <c r="J518" s="5" t="s">
        <v>516</v>
      </c>
      <c r="K518" s="5"/>
      <c r="L518" s="40" t="e">
        <f>VLOOKUP(L508,'IURAN TANAH'!$A$2:$S$145,12,FALSE)</f>
        <v>#N/A</v>
      </c>
    </row>
    <row r="519" spans="2:12" x14ac:dyDescent="0.25">
      <c r="B519" s="6" t="s">
        <v>517</v>
      </c>
      <c r="C519" s="6"/>
      <c r="D519" s="39" t="e">
        <f>VLOOKUP(D508,'IURAN TANAH'!$A$2:$S$145,13,FALSE)</f>
        <v>#N/A</v>
      </c>
      <c r="F519" s="6" t="s">
        <v>517</v>
      </c>
      <c r="G519" s="6"/>
      <c r="H519" s="39" t="e">
        <f>VLOOKUP(H508,'IURAN TANAH'!$A$2:$S$145,13,FALSE)</f>
        <v>#N/A</v>
      </c>
      <c r="J519" s="6" t="s">
        <v>517</v>
      </c>
      <c r="K519" s="6"/>
      <c r="L519" s="39" t="e">
        <f>VLOOKUP(L508,'IURAN TANAH'!$A$2:$S$145,13,FALSE)</f>
        <v>#N/A</v>
      </c>
    </row>
    <row r="520" spans="2:12" x14ac:dyDescent="0.25">
      <c r="B520" s="5" t="s">
        <v>518</v>
      </c>
      <c r="C520" s="5"/>
      <c r="D520" s="40" t="e">
        <f>VLOOKUP(D508,'IURAN TANAH'!$A$2:$S$145,14,FALSE)</f>
        <v>#N/A</v>
      </c>
      <c r="F520" s="5" t="s">
        <v>518</v>
      </c>
      <c r="G520" s="5"/>
      <c r="H520" s="40" t="e">
        <f>VLOOKUP(H508,'IURAN TANAH'!$A$2:$S$145,14,FALSE)</f>
        <v>#N/A</v>
      </c>
      <c r="J520" s="5" t="s">
        <v>518</v>
      </c>
      <c r="K520" s="5"/>
      <c r="L520" s="40" t="e">
        <f>VLOOKUP(L508,'IURAN TANAH'!$A$2:$S$145,14,FALSE)</f>
        <v>#N/A</v>
      </c>
    </row>
    <row r="521" spans="2:12" x14ac:dyDescent="0.25">
      <c r="B521" s="6" t="s">
        <v>519</v>
      </c>
      <c r="C521" s="6"/>
      <c r="D521" s="39" t="e">
        <f>VLOOKUP(D508,'IURAN TANAH'!$A$2:$S$145,15,FALSE)</f>
        <v>#N/A</v>
      </c>
      <c r="F521" s="6" t="s">
        <v>519</v>
      </c>
      <c r="G521" s="6"/>
      <c r="H521" s="39" t="e">
        <f>VLOOKUP(H508,'IURAN TANAH'!$A$2:$S$145,15,FALSE)</f>
        <v>#N/A</v>
      </c>
      <c r="J521" s="6" t="s">
        <v>519</v>
      </c>
      <c r="K521" s="6"/>
      <c r="L521" s="39" t="e">
        <f>VLOOKUP(L508,'IURAN TANAH'!$A$2:$S$145,15,FALSE)</f>
        <v>#N/A</v>
      </c>
    </row>
    <row r="522" spans="2:12" x14ac:dyDescent="0.25">
      <c r="B522" s="5" t="s">
        <v>520</v>
      </c>
      <c r="C522" s="5"/>
      <c r="D522" s="40" t="e">
        <f>VLOOKUP(D508,'IURAN TANAH'!$A$2:$S$145,16,FALSE)</f>
        <v>#N/A</v>
      </c>
      <c r="F522" s="5" t="s">
        <v>520</v>
      </c>
      <c r="G522" s="5"/>
      <c r="H522" s="40" t="e">
        <f>VLOOKUP(H508,'IURAN TANAH'!$A$2:$S$145,16,FALSE)</f>
        <v>#N/A</v>
      </c>
      <c r="J522" s="5" t="s">
        <v>520</v>
      </c>
      <c r="K522" s="5"/>
      <c r="L522" s="40" t="e">
        <f>VLOOKUP(L508,'IURAN TANAH'!$A$2:$S$145,16,FALSE)</f>
        <v>#N/A</v>
      </c>
    </row>
    <row r="523" spans="2:12" ht="18.75" customHeight="1" x14ac:dyDescent="0.3">
      <c r="B523" s="7" t="s">
        <v>21</v>
      </c>
      <c r="C523" s="7"/>
      <c r="D523" s="41" t="e">
        <f>SUM(D513:D522)</f>
        <v>#N/A</v>
      </c>
      <c r="F523" s="7" t="s">
        <v>21</v>
      </c>
      <c r="G523" s="7"/>
      <c r="H523" s="41" t="e">
        <f>SUM(H513:H522)</f>
        <v>#N/A</v>
      </c>
      <c r="J523" s="7" t="s">
        <v>21</v>
      </c>
      <c r="K523" s="7"/>
      <c r="L523" s="41" t="e">
        <f>SUM(L513:L522)</f>
        <v>#N/A</v>
      </c>
    </row>
    <row r="524" spans="2:12" x14ac:dyDescent="0.25">
      <c r="B524" s="5"/>
      <c r="C524" s="5"/>
      <c r="D524" s="5"/>
      <c r="F524" s="5"/>
      <c r="G524" s="5"/>
      <c r="H524" s="5"/>
      <c r="J524" s="5"/>
      <c r="K524" s="5"/>
      <c r="L524" s="5"/>
    </row>
    <row r="526" spans="2:12" x14ac:dyDescent="0.25">
      <c r="B526" s="5" t="s">
        <v>2</v>
      </c>
      <c r="C526" s="5" t="s">
        <v>507</v>
      </c>
      <c r="D526" s="5">
        <v>88</v>
      </c>
      <c r="F526" s="5" t="s">
        <v>2</v>
      </c>
      <c r="G526" s="5" t="s">
        <v>507</v>
      </c>
      <c r="H526" s="5">
        <v>89</v>
      </c>
      <c r="J526" s="5" t="s">
        <v>2</v>
      </c>
      <c r="K526" s="5" t="s">
        <v>507</v>
      </c>
      <c r="L526" s="5">
        <v>90</v>
      </c>
    </row>
    <row r="527" spans="2:12" x14ac:dyDescent="0.25">
      <c r="B527" s="6" t="s">
        <v>508</v>
      </c>
      <c r="C527" s="6" t="s">
        <v>507</v>
      </c>
      <c r="D527" s="6" t="e">
        <f>VLOOKUP(D526,'IURAN TANAH'!$A$2:$S$145,2,FALSE)</f>
        <v>#N/A</v>
      </c>
      <c r="F527" s="6" t="s">
        <v>508</v>
      </c>
      <c r="G527" s="6" t="s">
        <v>507</v>
      </c>
      <c r="H527" s="6" t="e">
        <f>VLOOKUP(H526,'IURAN TANAH'!$A$2:$S$145,2,FALSE)</f>
        <v>#N/A</v>
      </c>
      <c r="J527" s="6" t="s">
        <v>508</v>
      </c>
      <c r="K527" s="6" t="s">
        <v>507</v>
      </c>
      <c r="L527" s="6" t="e">
        <f>VLOOKUP(L526,'IURAN TANAH'!$A$2:$S$145,2,FALSE)</f>
        <v>#N/A</v>
      </c>
    </row>
    <row r="528" spans="2:12" x14ac:dyDescent="0.25">
      <c r="B528" s="5" t="s">
        <v>509</v>
      </c>
      <c r="C528" s="5" t="s">
        <v>507</v>
      </c>
      <c r="D528" s="5" t="e">
        <f>VLOOKUP(D526,'IURAN TANAH'!$A$2:$S$145,3,FALSE) &amp;" " &amp;VLOOKUP(D526,'IURAN TANAH'!$A$2:$S$145,4,FALSE)</f>
        <v>#N/A</v>
      </c>
      <c r="F528" s="5" t="s">
        <v>509</v>
      </c>
      <c r="G528" s="5" t="s">
        <v>507</v>
      </c>
      <c r="H528" s="5" t="e">
        <f>VLOOKUP(H526,'IURAN TANAH'!$A$2:$S$145,3,FALSE) &amp;" " &amp;VLOOKUP(H526,'IURAN TANAH'!$A$2:$S$145,4,FALSE)</f>
        <v>#N/A</v>
      </c>
      <c r="J528" s="5" t="s">
        <v>509</v>
      </c>
      <c r="K528" s="5" t="s">
        <v>507</v>
      </c>
      <c r="L528" s="5" t="e">
        <f>VLOOKUP(L526,'IURAN TANAH'!$A$2:$S$145,3,FALSE) &amp;" " &amp;VLOOKUP(L526,'IURAN TANAH'!$A$2:$S$145,4,FALSE)</f>
        <v>#N/A</v>
      </c>
    </row>
    <row r="529" spans="2:12" x14ac:dyDescent="0.25">
      <c r="B529" s="6"/>
      <c r="C529" s="6"/>
      <c r="D529" s="6"/>
      <c r="F529" s="6"/>
      <c r="G529" s="6"/>
      <c r="H529" s="6"/>
      <c r="J529" s="6"/>
      <c r="K529" s="6"/>
      <c r="L529" s="6"/>
    </row>
    <row r="530" spans="2:12" x14ac:dyDescent="0.25">
      <c r="B530" s="5" t="s">
        <v>510</v>
      </c>
      <c r="C530" s="5"/>
      <c r="D530" s="5"/>
      <c r="F530" s="5" t="s">
        <v>510</v>
      </c>
      <c r="G530" s="5"/>
      <c r="H530" s="5"/>
      <c r="J530" s="5" t="s">
        <v>510</v>
      </c>
      <c r="K530" s="5"/>
      <c r="L530" s="5"/>
    </row>
    <row r="531" spans="2:12" x14ac:dyDescent="0.25">
      <c r="B531" s="6" t="s">
        <v>511</v>
      </c>
      <c r="C531" s="6"/>
      <c r="D531" s="39" t="e">
        <f>VLOOKUP(D526,'IURAN TANAH'!$A$2:$S$145,7,FALSE)</f>
        <v>#N/A</v>
      </c>
      <c r="F531" s="6" t="s">
        <v>511</v>
      </c>
      <c r="G531" s="6"/>
      <c r="H531" s="39" t="e">
        <f>VLOOKUP(H526,'IURAN TANAH'!$A$2:$S$145,7,FALSE)</f>
        <v>#N/A</v>
      </c>
      <c r="J531" s="6" t="s">
        <v>511</v>
      </c>
      <c r="K531" s="6"/>
      <c r="L531" s="39" t="e">
        <f>VLOOKUP(L526,'IURAN TANAH'!$A$2:$S$145,7,FALSE)</f>
        <v>#N/A</v>
      </c>
    </row>
    <row r="532" spans="2:12" x14ac:dyDescent="0.25">
      <c r="B532" s="5" t="s">
        <v>512</v>
      </c>
      <c r="C532" s="5"/>
      <c r="D532" s="40" t="e">
        <f>VLOOKUP(D526,'IURAN TANAH'!$A$2:$S$145,8,FALSE)</f>
        <v>#N/A</v>
      </c>
      <c r="F532" s="5" t="s">
        <v>512</v>
      </c>
      <c r="G532" s="5"/>
      <c r="H532" s="40" t="e">
        <f>VLOOKUP(H526,'IURAN TANAH'!$A$2:$S$145,8,FALSE)</f>
        <v>#N/A</v>
      </c>
      <c r="J532" s="5" t="s">
        <v>512</v>
      </c>
      <c r="K532" s="5"/>
      <c r="L532" s="40" t="e">
        <f>VLOOKUP(L526,'IURAN TANAH'!$A$2:$S$145,8,FALSE)</f>
        <v>#N/A</v>
      </c>
    </row>
    <row r="533" spans="2:12" x14ac:dyDescent="0.25">
      <c r="B533" s="6" t="s">
        <v>513</v>
      </c>
      <c r="C533" s="6"/>
      <c r="D533" s="39" t="e">
        <f>VLOOKUP(D526,'IURAN TANAH'!$A$2:$S$145,9,FALSE)</f>
        <v>#N/A</v>
      </c>
      <c r="F533" s="6" t="s">
        <v>513</v>
      </c>
      <c r="G533" s="6"/>
      <c r="H533" s="39" t="e">
        <f>VLOOKUP(H526,'IURAN TANAH'!$A$2:$S$145,9,FALSE)</f>
        <v>#N/A</v>
      </c>
      <c r="J533" s="6" t="s">
        <v>513</v>
      </c>
      <c r="K533" s="6"/>
      <c r="L533" s="39" t="e">
        <f>VLOOKUP(L526,'IURAN TANAH'!$A$2:$S$145,9,FALSE)</f>
        <v>#N/A</v>
      </c>
    </row>
    <row r="534" spans="2:12" x14ac:dyDescent="0.25">
      <c r="B534" s="5" t="s">
        <v>514</v>
      </c>
      <c r="C534" s="5"/>
      <c r="D534" s="40" t="e">
        <f>VLOOKUP(D526,'IURAN TANAH'!$A$2:$S$145,10,FALSE)</f>
        <v>#N/A</v>
      </c>
      <c r="F534" s="5" t="s">
        <v>514</v>
      </c>
      <c r="G534" s="5"/>
      <c r="H534" s="40" t="e">
        <f>VLOOKUP(H526,'IURAN TANAH'!$A$2:$S$145,10,FALSE)</f>
        <v>#N/A</v>
      </c>
      <c r="J534" s="5" t="s">
        <v>514</v>
      </c>
      <c r="K534" s="5"/>
      <c r="L534" s="40" t="e">
        <f>VLOOKUP(L526,'IURAN TANAH'!$A$2:$S$145,10,FALSE)</f>
        <v>#N/A</v>
      </c>
    </row>
    <row r="535" spans="2:12" x14ac:dyDescent="0.25">
      <c r="B535" s="6" t="s">
        <v>515</v>
      </c>
      <c r="C535" s="6"/>
      <c r="D535" s="39" t="e">
        <f>VLOOKUP(D526,'IURAN TANAH'!$A$2:$S$145,11,FALSE)</f>
        <v>#N/A</v>
      </c>
      <c r="F535" s="6" t="s">
        <v>515</v>
      </c>
      <c r="G535" s="6"/>
      <c r="H535" s="39" t="e">
        <f>VLOOKUP(H526,'IURAN TANAH'!$A$2:$S$145,11,FALSE)</f>
        <v>#N/A</v>
      </c>
      <c r="J535" s="6" t="s">
        <v>515</v>
      </c>
      <c r="K535" s="6"/>
      <c r="L535" s="39" t="e">
        <f>VLOOKUP(L526,'IURAN TANAH'!$A$2:$S$145,11,FALSE)</f>
        <v>#N/A</v>
      </c>
    </row>
    <row r="536" spans="2:12" x14ac:dyDescent="0.25">
      <c r="B536" s="5" t="s">
        <v>516</v>
      </c>
      <c r="C536" s="5"/>
      <c r="D536" s="40" t="e">
        <f>VLOOKUP(D526,'IURAN TANAH'!$A$2:$S$145,12,FALSE)</f>
        <v>#N/A</v>
      </c>
      <c r="F536" s="5" t="s">
        <v>516</v>
      </c>
      <c r="G536" s="5"/>
      <c r="H536" s="40" t="e">
        <f>VLOOKUP(H526,'IURAN TANAH'!$A$2:$S$145,12,FALSE)</f>
        <v>#N/A</v>
      </c>
      <c r="J536" s="5" t="s">
        <v>516</v>
      </c>
      <c r="K536" s="5"/>
      <c r="L536" s="40" t="e">
        <f>VLOOKUP(L526,'IURAN TANAH'!$A$2:$S$145,12,FALSE)</f>
        <v>#N/A</v>
      </c>
    </row>
    <row r="537" spans="2:12" x14ac:dyDescent="0.25">
      <c r="B537" s="6" t="s">
        <v>517</v>
      </c>
      <c r="C537" s="6"/>
      <c r="D537" s="39" t="e">
        <f>VLOOKUP(D526,'IURAN TANAH'!$A$2:$S$145,13,FALSE)</f>
        <v>#N/A</v>
      </c>
      <c r="F537" s="6" t="s">
        <v>517</v>
      </c>
      <c r="G537" s="6"/>
      <c r="H537" s="39" t="e">
        <f>VLOOKUP(H526,'IURAN TANAH'!$A$2:$S$145,13,FALSE)</f>
        <v>#N/A</v>
      </c>
      <c r="J537" s="6" t="s">
        <v>517</v>
      </c>
      <c r="K537" s="6"/>
      <c r="L537" s="39" t="e">
        <f>VLOOKUP(L526,'IURAN TANAH'!$A$2:$S$145,13,FALSE)</f>
        <v>#N/A</v>
      </c>
    </row>
    <row r="538" spans="2:12" x14ac:dyDescent="0.25">
      <c r="B538" s="5" t="s">
        <v>518</v>
      </c>
      <c r="C538" s="5"/>
      <c r="D538" s="40" t="e">
        <f>VLOOKUP(D526,'IURAN TANAH'!$A$2:$S$145,14,FALSE)</f>
        <v>#N/A</v>
      </c>
      <c r="F538" s="5" t="s">
        <v>518</v>
      </c>
      <c r="G538" s="5"/>
      <c r="H538" s="40" t="e">
        <f>VLOOKUP(H526,'IURAN TANAH'!$A$2:$S$145,14,FALSE)</f>
        <v>#N/A</v>
      </c>
      <c r="J538" s="5" t="s">
        <v>518</v>
      </c>
      <c r="K538" s="5"/>
      <c r="L538" s="40" t="e">
        <f>VLOOKUP(L526,'IURAN TANAH'!$A$2:$S$145,14,FALSE)</f>
        <v>#N/A</v>
      </c>
    </row>
    <row r="539" spans="2:12" x14ac:dyDescent="0.25">
      <c r="B539" s="6" t="s">
        <v>519</v>
      </c>
      <c r="C539" s="6"/>
      <c r="D539" s="39" t="e">
        <f>VLOOKUP(D526,'IURAN TANAH'!$A$2:$S$145,15,FALSE)</f>
        <v>#N/A</v>
      </c>
      <c r="F539" s="6" t="s">
        <v>519</v>
      </c>
      <c r="G539" s="6"/>
      <c r="H539" s="39" t="e">
        <f>VLOOKUP(H526,'IURAN TANAH'!$A$2:$S$145,15,FALSE)</f>
        <v>#N/A</v>
      </c>
      <c r="J539" s="6" t="s">
        <v>519</v>
      </c>
      <c r="K539" s="6"/>
      <c r="L539" s="39" t="e">
        <f>VLOOKUP(L526,'IURAN TANAH'!$A$2:$S$145,15,FALSE)</f>
        <v>#N/A</v>
      </c>
    </row>
    <row r="540" spans="2:12" x14ac:dyDescent="0.25">
      <c r="B540" s="5" t="s">
        <v>520</v>
      </c>
      <c r="C540" s="5"/>
      <c r="D540" s="40" t="e">
        <f>VLOOKUP(D526,'IURAN TANAH'!$A$2:$S$145,16,FALSE)</f>
        <v>#N/A</v>
      </c>
      <c r="F540" s="5" t="s">
        <v>520</v>
      </c>
      <c r="G540" s="5"/>
      <c r="H540" s="40" t="e">
        <f>VLOOKUP(H526,'IURAN TANAH'!$A$2:$S$145,16,FALSE)</f>
        <v>#N/A</v>
      </c>
      <c r="J540" s="5" t="s">
        <v>520</v>
      </c>
      <c r="K540" s="5"/>
      <c r="L540" s="40" t="e">
        <f>VLOOKUP(L526,'IURAN TANAH'!$A$2:$S$145,16,FALSE)</f>
        <v>#N/A</v>
      </c>
    </row>
    <row r="541" spans="2:12" ht="18.75" customHeight="1" x14ac:dyDescent="0.3">
      <c r="B541" s="7" t="s">
        <v>21</v>
      </c>
      <c r="C541" s="7"/>
      <c r="D541" s="41" t="e">
        <f>SUM(D531:D540)</f>
        <v>#N/A</v>
      </c>
      <c r="F541" s="7" t="s">
        <v>21</v>
      </c>
      <c r="G541" s="7"/>
      <c r="H541" s="41" t="e">
        <f>SUM(H531:H540)</f>
        <v>#N/A</v>
      </c>
      <c r="J541" s="7" t="s">
        <v>21</v>
      </c>
      <c r="K541" s="7"/>
      <c r="L541" s="41" t="e">
        <f>SUM(L531:L540)</f>
        <v>#N/A</v>
      </c>
    </row>
    <row r="542" spans="2:12" x14ac:dyDescent="0.25">
      <c r="B542" s="5"/>
      <c r="C542" s="5"/>
      <c r="D542" s="5"/>
      <c r="F542" s="5"/>
      <c r="G542" s="5"/>
      <c r="H542" s="5"/>
      <c r="J542" s="5"/>
      <c r="K542" s="5"/>
      <c r="L542" s="5"/>
    </row>
    <row r="544" spans="2:12" x14ac:dyDescent="0.25">
      <c r="B544" s="5" t="s">
        <v>2</v>
      </c>
      <c r="C544" s="5" t="s">
        <v>507</v>
      </c>
      <c r="D544" s="5">
        <v>91</v>
      </c>
      <c r="F544" s="5" t="s">
        <v>2</v>
      </c>
      <c r="G544" s="5" t="s">
        <v>507</v>
      </c>
      <c r="H544" s="5">
        <v>92</v>
      </c>
      <c r="J544" s="5" t="s">
        <v>2</v>
      </c>
      <c r="K544" s="5" t="s">
        <v>507</v>
      </c>
      <c r="L544" s="5">
        <v>93</v>
      </c>
    </row>
    <row r="545" spans="2:12" x14ac:dyDescent="0.25">
      <c r="B545" s="6" t="s">
        <v>508</v>
      </c>
      <c r="C545" s="6" t="s">
        <v>507</v>
      </c>
      <c r="D545" s="6" t="e">
        <f>VLOOKUP(D544,'IURAN TANAH'!$A$2:$S$145,2,FALSE)</f>
        <v>#N/A</v>
      </c>
      <c r="F545" s="6" t="s">
        <v>508</v>
      </c>
      <c r="G545" s="6" t="s">
        <v>507</v>
      </c>
      <c r="H545" s="6" t="e">
        <f>VLOOKUP(H544,'IURAN TANAH'!$A$2:$S$145,2,FALSE)</f>
        <v>#N/A</v>
      </c>
      <c r="J545" s="6" t="s">
        <v>508</v>
      </c>
      <c r="K545" s="6" t="s">
        <v>507</v>
      </c>
      <c r="L545" s="6" t="e">
        <f>VLOOKUP(L544,'IURAN TANAH'!$A$2:$S$145,2,FALSE)</f>
        <v>#N/A</v>
      </c>
    </row>
    <row r="546" spans="2:12" x14ac:dyDescent="0.25">
      <c r="B546" s="5" t="s">
        <v>509</v>
      </c>
      <c r="C546" s="5" t="s">
        <v>507</v>
      </c>
      <c r="D546" s="5" t="e">
        <f>VLOOKUP(D544,'IURAN TANAH'!$A$2:$S$145,3,FALSE) &amp;" " &amp;VLOOKUP(D544,'IURAN TANAH'!$A$2:$S$145,4,FALSE)</f>
        <v>#N/A</v>
      </c>
      <c r="F546" s="5" t="s">
        <v>509</v>
      </c>
      <c r="G546" s="5" t="s">
        <v>507</v>
      </c>
      <c r="H546" s="5" t="e">
        <f>VLOOKUP(H544,'IURAN TANAH'!$A$2:$S$145,3,FALSE) &amp;" " &amp;VLOOKUP(H544,'IURAN TANAH'!$A$2:$S$145,4,FALSE)</f>
        <v>#N/A</v>
      </c>
      <c r="J546" s="5" t="s">
        <v>509</v>
      </c>
      <c r="K546" s="5" t="s">
        <v>507</v>
      </c>
      <c r="L546" s="5" t="e">
        <f>VLOOKUP(L544,'IURAN TANAH'!$A$2:$S$145,3,FALSE) &amp;" " &amp;VLOOKUP(L544,'IURAN TANAH'!$A$2:$S$145,4,FALSE)</f>
        <v>#N/A</v>
      </c>
    </row>
    <row r="547" spans="2:12" x14ac:dyDescent="0.25">
      <c r="B547" s="6"/>
      <c r="C547" s="6"/>
      <c r="D547" s="6"/>
      <c r="F547" s="6"/>
      <c r="G547" s="6"/>
      <c r="H547" s="6"/>
      <c r="J547" s="6"/>
      <c r="K547" s="6"/>
      <c r="L547" s="6"/>
    </row>
    <row r="548" spans="2:12" x14ac:dyDescent="0.25">
      <c r="B548" s="5" t="s">
        <v>510</v>
      </c>
      <c r="C548" s="5"/>
      <c r="D548" s="5"/>
      <c r="F548" s="5" t="s">
        <v>510</v>
      </c>
      <c r="G548" s="5"/>
      <c r="H548" s="5"/>
      <c r="J548" s="5" t="s">
        <v>510</v>
      </c>
      <c r="K548" s="5"/>
      <c r="L548" s="5"/>
    </row>
    <row r="549" spans="2:12" x14ac:dyDescent="0.25">
      <c r="B549" s="6" t="s">
        <v>511</v>
      </c>
      <c r="C549" s="6"/>
      <c r="D549" s="39" t="e">
        <f>VLOOKUP(D544,'IURAN TANAH'!$A$2:$S$145,7,FALSE)</f>
        <v>#N/A</v>
      </c>
      <c r="F549" s="6" t="s">
        <v>511</v>
      </c>
      <c r="G549" s="6"/>
      <c r="H549" s="39" t="e">
        <f>VLOOKUP(H544,'IURAN TANAH'!$A$2:$S$145,7,FALSE)</f>
        <v>#N/A</v>
      </c>
      <c r="J549" s="6" t="s">
        <v>511</v>
      </c>
      <c r="K549" s="6"/>
      <c r="L549" s="39" t="e">
        <f>VLOOKUP(L544,'IURAN TANAH'!$A$2:$S$145,7,FALSE)</f>
        <v>#N/A</v>
      </c>
    </row>
    <row r="550" spans="2:12" x14ac:dyDescent="0.25">
      <c r="B550" s="5" t="s">
        <v>512</v>
      </c>
      <c r="C550" s="5"/>
      <c r="D550" s="40" t="e">
        <f>VLOOKUP(D544,'IURAN TANAH'!$A$2:$S$145,8,FALSE)</f>
        <v>#N/A</v>
      </c>
      <c r="F550" s="5" t="s">
        <v>512</v>
      </c>
      <c r="G550" s="5"/>
      <c r="H550" s="40" t="e">
        <f>VLOOKUP(H544,'IURAN TANAH'!$A$2:$S$145,8,FALSE)</f>
        <v>#N/A</v>
      </c>
      <c r="J550" s="5" t="s">
        <v>512</v>
      </c>
      <c r="K550" s="5"/>
      <c r="L550" s="40" t="e">
        <f>VLOOKUP(L544,'IURAN TANAH'!$A$2:$S$145,8,FALSE)</f>
        <v>#N/A</v>
      </c>
    </row>
    <row r="551" spans="2:12" x14ac:dyDescent="0.25">
      <c r="B551" s="6" t="s">
        <v>513</v>
      </c>
      <c r="C551" s="6"/>
      <c r="D551" s="39" t="e">
        <f>VLOOKUP(D544,'IURAN TANAH'!$A$2:$S$145,9,FALSE)</f>
        <v>#N/A</v>
      </c>
      <c r="F551" s="6" t="s">
        <v>513</v>
      </c>
      <c r="G551" s="6"/>
      <c r="H551" s="39" t="e">
        <f>VLOOKUP(H544,'IURAN TANAH'!$A$2:$S$145,9,FALSE)</f>
        <v>#N/A</v>
      </c>
      <c r="J551" s="6" t="s">
        <v>513</v>
      </c>
      <c r="K551" s="6"/>
      <c r="L551" s="39" t="e">
        <f>VLOOKUP(L544,'IURAN TANAH'!$A$2:$S$145,9,FALSE)</f>
        <v>#N/A</v>
      </c>
    </row>
    <row r="552" spans="2:12" x14ac:dyDescent="0.25">
      <c r="B552" s="5" t="s">
        <v>514</v>
      </c>
      <c r="C552" s="5"/>
      <c r="D552" s="40" t="e">
        <f>VLOOKUP(D544,'IURAN TANAH'!$A$2:$S$145,10,FALSE)</f>
        <v>#N/A</v>
      </c>
      <c r="F552" s="5" t="s">
        <v>514</v>
      </c>
      <c r="G552" s="5"/>
      <c r="H552" s="40" t="e">
        <f>VLOOKUP(H544,'IURAN TANAH'!$A$2:$S$145,10,FALSE)</f>
        <v>#N/A</v>
      </c>
      <c r="J552" s="5" t="s">
        <v>514</v>
      </c>
      <c r="K552" s="5"/>
      <c r="L552" s="40" t="e">
        <f>VLOOKUP(L544,'IURAN TANAH'!$A$2:$S$145,10,FALSE)</f>
        <v>#N/A</v>
      </c>
    </row>
    <row r="553" spans="2:12" x14ac:dyDescent="0.25">
      <c r="B553" s="6" t="s">
        <v>515</v>
      </c>
      <c r="C553" s="6"/>
      <c r="D553" s="39" t="e">
        <f>VLOOKUP(D544,'IURAN TANAH'!$A$2:$S$145,11,FALSE)</f>
        <v>#N/A</v>
      </c>
      <c r="F553" s="6" t="s">
        <v>515</v>
      </c>
      <c r="G553" s="6"/>
      <c r="H553" s="39" t="e">
        <f>VLOOKUP(H544,'IURAN TANAH'!$A$2:$S$145,11,FALSE)</f>
        <v>#N/A</v>
      </c>
      <c r="J553" s="6" t="s">
        <v>515</v>
      </c>
      <c r="K553" s="6"/>
      <c r="L553" s="39" t="e">
        <f>VLOOKUP(L544,'IURAN TANAH'!$A$2:$S$145,11,FALSE)</f>
        <v>#N/A</v>
      </c>
    </row>
    <row r="554" spans="2:12" x14ac:dyDescent="0.25">
      <c r="B554" s="5" t="s">
        <v>516</v>
      </c>
      <c r="C554" s="5"/>
      <c r="D554" s="40" t="e">
        <f>VLOOKUP(D544,'IURAN TANAH'!$A$2:$S$145,12,FALSE)</f>
        <v>#N/A</v>
      </c>
      <c r="F554" s="5" t="s">
        <v>516</v>
      </c>
      <c r="G554" s="5"/>
      <c r="H554" s="40" t="e">
        <f>VLOOKUP(H544,'IURAN TANAH'!$A$2:$S$145,12,FALSE)</f>
        <v>#N/A</v>
      </c>
      <c r="J554" s="5" t="s">
        <v>516</v>
      </c>
      <c r="K554" s="5"/>
      <c r="L554" s="40" t="e">
        <f>VLOOKUP(L544,'IURAN TANAH'!$A$2:$S$145,12,FALSE)</f>
        <v>#N/A</v>
      </c>
    </row>
    <row r="555" spans="2:12" x14ac:dyDescent="0.25">
      <c r="B555" s="6" t="s">
        <v>517</v>
      </c>
      <c r="C555" s="6"/>
      <c r="D555" s="39" t="e">
        <f>VLOOKUP(D544,'IURAN TANAH'!$A$2:$S$145,13,FALSE)</f>
        <v>#N/A</v>
      </c>
      <c r="F555" s="6" t="s">
        <v>517</v>
      </c>
      <c r="G555" s="6"/>
      <c r="H555" s="39" t="e">
        <f>VLOOKUP(H544,'IURAN TANAH'!$A$2:$S$145,13,FALSE)</f>
        <v>#N/A</v>
      </c>
      <c r="J555" s="6" t="s">
        <v>517</v>
      </c>
      <c r="K555" s="6"/>
      <c r="L555" s="39" t="e">
        <f>VLOOKUP(L544,'IURAN TANAH'!$A$2:$S$145,13,FALSE)</f>
        <v>#N/A</v>
      </c>
    </row>
    <row r="556" spans="2:12" x14ac:dyDescent="0.25">
      <c r="B556" s="5" t="s">
        <v>518</v>
      </c>
      <c r="C556" s="5"/>
      <c r="D556" s="40" t="e">
        <f>VLOOKUP(D544,'IURAN TANAH'!$A$2:$S$145,14,FALSE)</f>
        <v>#N/A</v>
      </c>
      <c r="F556" s="5" t="s">
        <v>518</v>
      </c>
      <c r="G556" s="5"/>
      <c r="H556" s="40" t="e">
        <f>VLOOKUP(H544,'IURAN TANAH'!$A$2:$S$145,14,FALSE)</f>
        <v>#N/A</v>
      </c>
      <c r="J556" s="5" t="s">
        <v>518</v>
      </c>
      <c r="K556" s="5"/>
      <c r="L556" s="40" t="e">
        <f>VLOOKUP(L544,'IURAN TANAH'!$A$2:$S$145,14,FALSE)</f>
        <v>#N/A</v>
      </c>
    </row>
    <row r="557" spans="2:12" x14ac:dyDescent="0.25">
      <c r="B557" s="6" t="s">
        <v>519</v>
      </c>
      <c r="C557" s="6"/>
      <c r="D557" s="39" t="e">
        <f>VLOOKUP(D544,'IURAN TANAH'!$A$2:$S$145,15,FALSE)</f>
        <v>#N/A</v>
      </c>
      <c r="F557" s="6" t="s">
        <v>519</v>
      </c>
      <c r="G557" s="6"/>
      <c r="H557" s="39" t="e">
        <f>VLOOKUP(H544,'IURAN TANAH'!$A$2:$S$145,15,FALSE)</f>
        <v>#N/A</v>
      </c>
      <c r="J557" s="6" t="s">
        <v>519</v>
      </c>
      <c r="K557" s="6"/>
      <c r="L557" s="39" t="e">
        <f>VLOOKUP(L544,'IURAN TANAH'!$A$2:$S$145,15,FALSE)</f>
        <v>#N/A</v>
      </c>
    </row>
    <row r="558" spans="2:12" x14ac:dyDescent="0.25">
      <c r="B558" s="5" t="s">
        <v>520</v>
      </c>
      <c r="C558" s="5"/>
      <c r="D558" s="40" t="e">
        <f>VLOOKUP(D544,'IURAN TANAH'!$A$2:$S$145,16,FALSE)</f>
        <v>#N/A</v>
      </c>
      <c r="F558" s="5" t="s">
        <v>520</v>
      </c>
      <c r="G558" s="5"/>
      <c r="H558" s="40" t="e">
        <f>VLOOKUP(H544,'IURAN TANAH'!$A$2:$S$145,16,FALSE)</f>
        <v>#N/A</v>
      </c>
      <c r="J558" s="5" t="s">
        <v>520</v>
      </c>
      <c r="K558" s="5"/>
      <c r="L558" s="40" t="e">
        <f>VLOOKUP(L544,'IURAN TANAH'!$A$2:$S$145,16,FALSE)</f>
        <v>#N/A</v>
      </c>
    </row>
    <row r="559" spans="2:12" ht="18.75" customHeight="1" x14ac:dyDescent="0.3">
      <c r="B559" s="7" t="s">
        <v>21</v>
      </c>
      <c r="C559" s="7"/>
      <c r="D559" s="41" t="e">
        <f>SUM(D549:D558)</f>
        <v>#N/A</v>
      </c>
      <c r="F559" s="7" t="s">
        <v>21</v>
      </c>
      <c r="G559" s="7"/>
      <c r="H559" s="41" t="e">
        <f>SUM(H549:H558)</f>
        <v>#N/A</v>
      </c>
      <c r="J559" s="7" t="s">
        <v>21</v>
      </c>
      <c r="K559" s="7"/>
      <c r="L559" s="41" t="e">
        <f>SUM(L549:L558)</f>
        <v>#N/A</v>
      </c>
    </row>
    <row r="560" spans="2:12" x14ac:dyDescent="0.25">
      <c r="B560" s="5"/>
      <c r="C560" s="5"/>
      <c r="D560" s="5"/>
      <c r="F560" s="5"/>
      <c r="G560" s="5"/>
      <c r="H560" s="5"/>
      <c r="J560" s="5"/>
      <c r="K560" s="5"/>
      <c r="L560" s="5"/>
    </row>
    <row r="562" spans="2:12" x14ac:dyDescent="0.25">
      <c r="B562" s="5" t="s">
        <v>2</v>
      </c>
      <c r="C562" s="5" t="s">
        <v>507</v>
      </c>
      <c r="D562" s="5">
        <v>94</v>
      </c>
      <c r="F562" s="5" t="s">
        <v>2</v>
      </c>
      <c r="G562" s="5" t="s">
        <v>507</v>
      </c>
      <c r="H562" s="5">
        <v>95</v>
      </c>
      <c r="J562" s="5" t="s">
        <v>2</v>
      </c>
      <c r="K562" s="5" t="s">
        <v>507</v>
      </c>
      <c r="L562" s="5">
        <v>96</v>
      </c>
    </row>
    <row r="563" spans="2:12" x14ac:dyDescent="0.25">
      <c r="B563" s="6" t="s">
        <v>508</v>
      </c>
      <c r="C563" s="6" t="s">
        <v>507</v>
      </c>
      <c r="D563" s="6" t="e">
        <f>VLOOKUP(D562,'IURAN TANAH'!$A$2:$S$145,2,FALSE)</f>
        <v>#N/A</v>
      </c>
      <c r="F563" s="6" t="s">
        <v>508</v>
      </c>
      <c r="G563" s="6" t="s">
        <v>507</v>
      </c>
      <c r="H563" s="6" t="e">
        <f>VLOOKUP(H562,'IURAN TANAH'!$A$2:$S$145,2,FALSE)</f>
        <v>#N/A</v>
      </c>
      <c r="J563" s="6" t="s">
        <v>508</v>
      </c>
      <c r="K563" s="6" t="s">
        <v>507</v>
      </c>
      <c r="L563" s="6" t="e">
        <f>VLOOKUP(L562,'IURAN TANAH'!$A$2:$S$145,2,FALSE)</f>
        <v>#N/A</v>
      </c>
    </row>
    <row r="564" spans="2:12" x14ac:dyDescent="0.25">
      <c r="B564" s="5" t="s">
        <v>509</v>
      </c>
      <c r="C564" s="5" t="s">
        <v>507</v>
      </c>
      <c r="D564" s="5" t="e">
        <f>VLOOKUP(D562,'IURAN TANAH'!$A$2:$S$145,3,FALSE) &amp;" " &amp;VLOOKUP(D562,'IURAN TANAH'!$A$2:$S$145,4,FALSE)</f>
        <v>#N/A</v>
      </c>
      <c r="F564" s="5" t="s">
        <v>509</v>
      </c>
      <c r="G564" s="5" t="s">
        <v>507</v>
      </c>
      <c r="H564" s="5" t="e">
        <f>VLOOKUP(H562,'IURAN TANAH'!$A$2:$S$145,3,FALSE) &amp;" " &amp;VLOOKUP(H562,'IURAN TANAH'!$A$2:$S$145,4,FALSE)</f>
        <v>#N/A</v>
      </c>
      <c r="J564" s="5" t="s">
        <v>509</v>
      </c>
      <c r="K564" s="5" t="s">
        <v>507</v>
      </c>
      <c r="L564" s="5" t="e">
        <f>VLOOKUP(L562,'IURAN TANAH'!$A$2:$S$145,3,FALSE) &amp;" " &amp;VLOOKUP(L562,'IURAN TANAH'!$A$2:$S$145,4,FALSE)</f>
        <v>#N/A</v>
      </c>
    </row>
    <row r="565" spans="2:12" x14ac:dyDescent="0.25">
      <c r="B565" s="6"/>
      <c r="C565" s="6"/>
      <c r="D565" s="6"/>
      <c r="F565" s="6"/>
      <c r="G565" s="6"/>
      <c r="H565" s="6"/>
      <c r="J565" s="6"/>
      <c r="K565" s="6"/>
      <c r="L565" s="6"/>
    </row>
    <row r="566" spans="2:12" x14ac:dyDescent="0.25">
      <c r="B566" s="5" t="s">
        <v>510</v>
      </c>
      <c r="C566" s="5"/>
      <c r="D566" s="5"/>
      <c r="F566" s="5" t="s">
        <v>510</v>
      </c>
      <c r="G566" s="5"/>
      <c r="H566" s="5"/>
      <c r="J566" s="5" t="s">
        <v>510</v>
      </c>
      <c r="K566" s="5"/>
      <c r="L566" s="5"/>
    </row>
    <row r="567" spans="2:12" x14ac:dyDescent="0.25">
      <c r="B567" s="6" t="s">
        <v>511</v>
      </c>
      <c r="C567" s="6"/>
      <c r="D567" s="39" t="e">
        <f>VLOOKUP(D562,'IURAN TANAH'!$A$2:$S$145,7,FALSE)</f>
        <v>#N/A</v>
      </c>
      <c r="F567" s="6" t="s">
        <v>511</v>
      </c>
      <c r="G567" s="6"/>
      <c r="H567" s="39" t="e">
        <f>VLOOKUP(H562,'IURAN TANAH'!$A$2:$S$145,7,FALSE)</f>
        <v>#N/A</v>
      </c>
      <c r="J567" s="6" t="s">
        <v>511</v>
      </c>
      <c r="K567" s="6"/>
      <c r="L567" s="39" t="e">
        <f>VLOOKUP(L562,'IURAN TANAH'!$A$2:$S$145,7,FALSE)</f>
        <v>#N/A</v>
      </c>
    </row>
    <row r="568" spans="2:12" x14ac:dyDescent="0.25">
      <c r="B568" s="5" t="s">
        <v>512</v>
      </c>
      <c r="C568" s="5"/>
      <c r="D568" s="40" t="e">
        <f>VLOOKUP(D562,'IURAN TANAH'!$A$2:$S$145,8,FALSE)</f>
        <v>#N/A</v>
      </c>
      <c r="F568" s="5" t="s">
        <v>512</v>
      </c>
      <c r="G568" s="5"/>
      <c r="H568" s="40" t="e">
        <f>VLOOKUP(H562,'IURAN TANAH'!$A$2:$S$145,8,FALSE)</f>
        <v>#N/A</v>
      </c>
      <c r="J568" s="5" t="s">
        <v>512</v>
      </c>
      <c r="K568" s="5"/>
      <c r="L568" s="40" t="e">
        <f>VLOOKUP(L562,'IURAN TANAH'!$A$2:$S$145,8,FALSE)</f>
        <v>#N/A</v>
      </c>
    </row>
    <row r="569" spans="2:12" x14ac:dyDescent="0.25">
      <c r="B569" s="6" t="s">
        <v>513</v>
      </c>
      <c r="C569" s="6"/>
      <c r="D569" s="39" t="e">
        <f>VLOOKUP(D562,'IURAN TANAH'!$A$2:$S$145,9,FALSE)</f>
        <v>#N/A</v>
      </c>
      <c r="F569" s="6" t="s">
        <v>513</v>
      </c>
      <c r="G569" s="6"/>
      <c r="H569" s="39" t="e">
        <f>VLOOKUP(H562,'IURAN TANAH'!$A$2:$S$145,9,FALSE)</f>
        <v>#N/A</v>
      </c>
      <c r="J569" s="6" t="s">
        <v>513</v>
      </c>
      <c r="K569" s="6"/>
      <c r="L569" s="39" t="e">
        <f>VLOOKUP(L562,'IURAN TANAH'!$A$2:$S$145,9,FALSE)</f>
        <v>#N/A</v>
      </c>
    </row>
    <row r="570" spans="2:12" x14ac:dyDescent="0.25">
      <c r="B570" s="5" t="s">
        <v>514</v>
      </c>
      <c r="C570" s="5"/>
      <c r="D570" s="40" t="e">
        <f>VLOOKUP(D562,'IURAN TANAH'!$A$2:$S$145,10,FALSE)</f>
        <v>#N/A</v>
      </c>
      <c r="F570" s="5" t="s">
        <v>514</v>
      </c>
      <c r="G570" s="5"/>
      <c r="H570" s="40" t="e">
        <f>VLOOKUP(H562,'IURAN TANAH'!$A$2:$S$145,10,FALSE)</f>
        <v>#N/A</v>
      </c>
      <c r="J570" s="5" t="s">
        <v>514</v>
      </c>
      <c r="K570" s="5"/>
      <c r="L570" s="40" t="e">
        <f>VLOOKUP(L562,'IURAN TANAH'!$A$2:$S$145,10,FALSE)</f>
        <v>#N/A</v>
      </c>
    </row>
    <row r="571" spans="2:12" x14ac:dyDescent="0.25">
      <c r="B571" s="6" t="s">
        <v>515</v>
      </c>
      <c r="C571" s="6"/>
      <c r="D571" s="39" t="e">
        <f>VLOOKUP(D562,'IURAN TANAH'!$A$2:$S$145,11,FALSE)</f>
        <v>#N/A</v>
      </c>
      <c r="F571" s="6" t="s">
        <v>515</v>
      </c>
      <c r="G571" s="6"/>
      <c r="H571" s="39" t="e">
        <f>VLOOKUP(H562,'IURAN TANAH'!$A$2:$S$145,11,FALSE)</f>
        <v>#N/A</v>
      </c>
      <c r="J571" s="6" t="s">
        <v>515</v>
      </c>
      <c r="K571" s="6"/>
      <c r="L571" s="39" t="e">
        <f>VLOOKUP(L562,'IURAN TANAH'!$A$2:$S$145,11,FALSE)</f>
        <v>#N/A</v>
      </c>
    </row>
    <row r="572" spans="2:12" x14ac:dyDescent="0.25">
      <c r="B572" s="5" t="s">
        <v>516</v>
      </c>
      <c r="C572" s="5"/>
      <c r="D572" s="40" t="e">
        <f>VLOOKUP(D562,'IURAN TANAH'!$A$2:$S$145,12,FALSE)</f>
        <v>#N/A</v>
      </c>
      <c r="F572" s="5" t="s">
        <v>516</v>
      </c>
      <c r="G572" s="5"/>
      <c r="H572" s="40" t="e">
        <f>VLOOKUP(H562,'IURAN TANAH'!$A$2:$S$145,12,FALSE)</f>
        <v>#N/A</v>
      </c>
      <c r="J572" s="5" t="s">
        <v>516</v>
      </c>
      <c r="K572" s="5"/>
      <c r="L572" s="40" t="e">
        <f>VLOOKUP(L562,'IURAN TANAH'!$A$2:$S$145,12,FALSE)</f>
        <v>#N/A</v>
      </c>
    </row>
    <row r="573" spans="2:12" x14ac:dyDescent="0.25">
      <c r="B573" s="6" t="s">
        <v>517</v>
      </c>
      <c r="C573" s="6"/>
      <c r="D573" s="39" t="e">
        <f>VLOOKUP(D562,'IURAN TANAH'!$A$2:$S$145,13,FALSE)</f>
        <v>#N/A</v>
      </c>
      <c r="F573" s="6" t="s">
        <v>517</v>
      </c>
      <c r="G573" s="6"/>
      <c r="H573" s="39" t="e">
        <f>VLOOKUP(H562,'IURAN TANAH'!$A$2:$S$145,13,FALSE)</f>
        <v>#N/A</v>
      </c>
      <c r="J573" s="6" t="s">
        <v>517</v>
      </c>
      <c r="K573" s="6"/>
      <c r="L573" s="39" t="e">
        <f>VLOOKUP(L562,'IURAN TANAH'!$A$2:$S$145,13,FALSE)</f>
        <v>#N/A</v>
      </c>
    </row>
    <row r="574" spans="2:12" x14ac:dyDescent="0.25">
      <c r="B574" s="5" t="s">
        <v>518</v>
      </c>
      <c r="C574" s="5"/>
      <c r="D574" s="40" t="e">
        <f>VLOOKUP(D562,'IURAN TANAH'!$A$2:$S$145,14,FALSE)</f>
        <v>#N/A</v>
      </c>
      <c r="F574" s="5" t="s">
        <v>518</v>
      </c>
      <c r="G574" s="5"/>
      <c r="H574" s="40" t="e">
        <f>VLOOKUP(H562,'IURAN TANAH'!$A$2:$S$145,14,FALSE)</f>
        <v>#N/A</v>
      </c>
      <c r="J574" s="5" t="s">
        <v>518</v>
      </c>
      <c r="K574" s="5"/>
      <c r="L574" s="40" t="e">
        <f>VLOOKUP(L562,'IURAN TANAH'!$A$2:$S$145,14,FALSE)</f>
        <v>#N/A</v>
      </c>
    </row>
    <row r="575" spans="2:12" x14ac:dyDescent="0.25">
      <c r="B575" s="6" t="s">
        <v>519</v>
      </c>
      <c r="C575" s="6"/>
      <c r="D575" s="39" t="e">
        <f>VLOOKUP(D562,'IURAN TANAH'!$A$2:$S$145,15,FALSE)</f>
        <v>#N/A</v>
      </c>
      <c r="F575" s="6" t="s">
        <v>519</v>
      </c>
      <c r="G575" s="6"/>
      <c r="H575" s="39" t="e">
        <f>VLOOKUP(H562,'IURAN TANAH'!$A$2:$S$145,15,FALSE)</f>
        <v>#N/A</v>
      </c>
      <c r="J575" s="6" t="s">
        <v>519</v>
      </c>
      <c r="K575" s="6"/>
      <c r="L575" s="39" t="e">
        <f>VLOOKUP(L562,'IURAN TANAH'!$A$2:$S$145,15,FALSE)</f>
        <v>#N/A</v>
      </c>
    </row>
    <row r="576" spans="2:12" x14ac:dyDescent="0.25">
      <c r="B576" s="5" t="s">
        <v>520</v>
      </c>
      <c r="C576" s="5"/>
      <c r="D576" s="40" t="e">
        <f>VLOOKUP(D562,'IURAN TANAH'!$A$2:$S$145,16,FALSE)</f>
        <v>#N/A</v>
      </c>
      <c r="F576" s="5" t="s">
        <v>520</v>
      </c>
      <c r="G576" s="5"/>
      <c r="H576" s="40" t="e">
        <f>VLOOKUP(H562,'IURAN TANAH'!$A$2:$S$145,16,FALSE)</f>
        <v>#N/A</v>
      </c>
      <c r="J576" s="5" t="s">
        <v>520</v>
      </c>
      <c r="K576" s="5"/>
      <c r="L576" s="40" t="e">
        <f>VLOOKUP(L562,'IURAN TANAH'!$A$2:$S$145,16,FALSE)</f>
        <v>#N/A</v>
      </c>
    </row>
    <row r="577" spans="2:12" ht="18.75" customHeight="1" x14ac:dyDescent="0.3">
      <c r="B577" s="7" t="s">
        <v>21</v>
      </c>
      <c r="C577" s="7"/>
      <c r="D577" s="41" t="e">
        <f>SUM(D567:D576)</f>
        <v>#N/A</v>
      </c>
      <c r="F577" s="7" t="s">
        <v>21</v>
      </c>
      <c r="G577" s="7"/>
      <c r="H577" s="41" t="e">
        <f>SUM(H567:H576)</f>
        <v>#N/A</v>
      </c>
      <c r="J577" s="7" t="s">
        <v>21</v>
      </c>
      <c r="K577" s="7"/>
      <c r="L577" s="41" t="e">
        <f>SUM(L567:L576)</f>
        <v>#N/A</v>
      </c>
    </row>
    <row r="578" spans="2:12" x14ac:dyDescent="0.25">
      <c r="B578" s="5"/>
      <c r="C578" s="5"/>
      <c r="D578" s="5"/>
      <c r="F578" s="5"/>
      <c r="G578" s="5"/>
      <c r="H578" s="5"/>
      <c r="J578" s="5"/>
      <c r="K578" s="5"/>
      <c r="L578" s="5"/>
    </row>
    <row r="580" spans="2:12" x14ac:dyDescent="0.25">
      <c r="B580" s="5" t="s">
        <v>2</v>
      </c>
      <c r="C580" s="5" t="s">
        <v>507</v>
      </c>
      <c r="D580" s="5">
        <v>97</v>
      </c>
      <c r="F580" s="5" t="s">
        <v>2</v>
      </c>
      <c r="G580" s="5" t="s">
        <v>507</v>
      </c>
      <c r="H580" s="5">
        <v>98</v>
      </c>
      <c r="J580" s="5" t="s">
        <v>2</v>
      </c>
      <c r="K580" s="5" t="s">
        <v>507</v>
      </c>
      <c r="L580" s="5">
        <v>99</v>
      </c>
    </row>
    <row r="581" spans="2:12" x14ac:dyDescent="0.25">
      <c r="B581" s="6" t="s">
        <v>508</v>
      </c>
      <c r="C581" s="6" t="s">
        <v>507</v>
      </c>
      <c r="D581" s="6" t="e">
        <f>VLOOKUP(D580,'IURAN TANAH'!$A$2:$S$145,2,FALSE)</f>
        <v>#N/A</v>
      </c>
      <c r="F581" s="6" t="s">
        <v>508</v>
      </c>
      <c r="G581" s="6" t="s">
        <v>507</v>
      </c>
      <c r="H581" s="6" t="e">
        <f>VLOOKUP(H580,'IURAN TANAH'!$A$2:$S$145,2,FALSE)</f>
        <v>#N/A</v>
      </c>
      <c r="J581" s="6" t="s">
        <v>508</v>
      </c>
      <c r="K581" s="6" t="s">
        <v>507</v>
      </c>
      <c r="L581" s="6" t="e">
        <f>VLOOKUP(L580,'IURAN TANAH'!$A$2:$S$145,2,FALSE)</f>
        <v>#N/A</v>
      </c>
    </row>
    <row r="582" spans="2:12" x14ac:dyDescent="0.25">
      <c r="B582" s="5" t="s">
        <v>509</v>
      </c>
      <c r="C582" s="5" t="s">
        <v>507</v>
      </c>
      <c r="D582" s="5" t="e">
        <f>VLOOKUP(D580,'IURAN TANAH'!$A$2:$S$145,3,FALSE) &amp;" " &amp;VLOOKUP(D580,'IURAN TANAH'!$A$2:$S$145,4,FALSE)</f>
        <v>#N/A</v>
      </c>
      <c r="F582" s="5" t="s">
        <v>509</v>
      </c>
      <c r="G582" s="5" t="s">
        <v>507</v>
      </c>
      <c r="H582" s="5" t="e">
        <f>VLOOKUP(H580,'IURAN TANAH'!$A$2:$S$145,3,FALSE) &amp;" " &amp;VLOOKUP(H580,'IURAN TANAH'!$A$2:$S$145,4,FALSE)</f>
        <v>#N/A</v>
      </c>
      <c r="J582" s="5" t="s">
        <v>509</v>
      </c>
      <c r="K582" s="5" t="s">
        <v>507</v>
      </c>
      <c r="L582" s="5" t="e">
        <f>VLOOKUP(L580,'IURAN TANAH'!$A$2:$S$145,3,FALSE) &amp;" " &amp;VLOOKUP(L580,'IURAN TANAH'!$A$2:$S$145,4,FALSE)</f>
        <v>#N/A</v>
      </c>
    </row>
    <row r="583" spans="2:12" x14ac:dyDescent="0.25">
      <c r="B583" s="6"/>
      <c r="C583" s="6"/>
      <c r="D583" s="6"/>
      <c r="F583" s="6"/>
      <c r="G583" s="6"/>
      <c r="H583" s="6"/>
      <c r="J583" s="6"/>
      <c r="K583" s="6"/>
      <c r="L583" s="6"/>
    </row>
    <row r="584" spans="2:12" x14ac:dyDescent="0.25">
      <c r="B584" s="5" t="s">
        <v>510</v>
      </c>
      <c r="C584" s="5"/>
      <c r="D584" s="5"/>
      <c r="F584" s="5" t="s">
        <v>510</v>
      </c>
      <c r="G584" s="5"/>
      <c r="H584" s="5"/>
      <c r="J584" s="5" t="s">
        <v>510</v>
      </c>
      <c r="K584" s="5"/>
      <c r="L584" s="5"/>
    </row>
    <row r="585" spans="2:12" x14ac:dyDescent="0.25">
      <c r="B585" s="6" t="s">
        <v>511</v>
      </c>
      <c r="C585" s="6"/>
      <c r="D585" s="39" t="e">
        <f>VLOOKUP(D580,'IURAN TANAH'!$A$2:$S$145,7,FALSE)</f>
        <v>#N/A</v>
      </c>
      <c r="F585" s="6" t="s">
        <v>511</v>
      </c>
      <c r="G585" s="6"/>
      <c r="H585" s="39" t="e">
        <f>VLOOKUP(H580,'IURAN TANAH'!$A$2:$S$145,7,FALSE)</f>
        <v>#N/A</v>
      </c>
      <c r="J585" s="6" t="s">
        <v>511</v>
      </c>
      <c r="K585" s="6"/>
      <c r="L585" s="39" t="e">
        <f>VLOOKUP(L580,'IURAN TANAH'!$A$2:$S$145,7,FALSE)</f>
        <v>#N/A</v>
      </c>
    </row>
    <row r="586" spans="2:12" x14ac:dyDescent="0.25">
      <c r="B586" s="5" t="s">
        <v>512</v>
      </c>
      <c r="C586" s="5"/>
      <c r="D586" s="40" t="e">
        <f>VLOOKUP(D580,'IURAN TANAH'!$A$2:$S$145,8,FALSE)</f>
        <v>#N/A</v>
      </c>
      <c r="F586" s="5" t="s">
        <v>512</v>
      </c>
      <c r="G586" s="5"/>
      <c r="H586" s="40" t="e">
        <f>VLOOKUP(H580,'IURAN TANAH'!$A$2:$S$145,8,FALSE)</f>
        <v>#N/A</v>
      </c>
      <c r="J586" s="5" t="s">
        <v>512</v>
      </c>
      <c r="K586" s="5"/>
      <c r="L586" s="40" t="e">
        <f>VLOOKUP(L580,'IURAN TANAH'!$A$2:$S$145,8,FALSE)</f>
        <v>#N/A</v>
      </c>
    </row>
    <row r="587" spans="2:12" x14ac:dyDescent="0.25">
      <c r="B587" s="6" t="s">
        <v>513</v>
      </c>
      <c r="C587" s="6"/>
      <c r="D587" s="39" t="e">
        <f>VLOOKUP(D580,'IURAN TANAH'!$A$2:$S$145,9,FALSE)</f>
        <v>#N/A</v>
      </c>
      <c r="F587" s="6" t="s">
        <v>513</v>
      </c>
      <c r="G587" s="6"/>
      <c r="H587" s="39" t="e">
        <f>VLOOKUP(H580,'IURAN TANAH'!$A$2:$S$145,9,FALSE)</f>
        <v>#N/A</v>
      </c>
      <c r="J587" s="6" t="s">
        <v>513</v>
      </c>
      <c r="K587" s="6"/>
      <c r="L587" s="39" t="e">
        <f>VLOOKUP(L580,'IURAN TANAH'!$A$2:$S$145,9,FALSE)</f>
        <v>#N/A</v>
      </c>
    </row>
    <row r="588" spans="2:12" x14ac:dyDescent="0.25">
      <c r="B588" s="5" t="s">
        <v>514</v>
      </c>
      <c r="C588" s="5"/>
      <c r="D588" s="40" t="e">
        <f>VLOOKUP(D580,'IURAN TANAH'!$A$2:$S$145,10,FALSE)</f>
        <v>#N/A</v>
      </c>
      <c r="F588" s="5" t="s">
        <v>514</v>
      </c>
      <c r="G588" s="5"/>
      <c r="H588" s="40" t="e">
        <f>VLOOKUP(H580,'IURAN TANAH'!$A$2:$S$145,10,FALSE)</f>
        <v>#N/A</v>
      </c>
      <c r="J588" s="5" t="s">
        <v>514</v>
      </c>
      <c r="K588" s="5"/>
      <c r="L588" s="40" t="e">
        <f>VLOOKUP(L580,'IURAN TANAH'!$A$2:$S$145,10,FALSE)</f>
        <v>#N/A</v>
      </c>
    </row>
    <row r="589" spans="2:12" x14ac:dyDescent="0.25">
      <c r="B589" s="6" t="s">
        <v>515</v>
      </c>
      <c r="C589" s="6"/>
      <c r="D589" s="39" t="e">
        <f>VLOOKUP(D580,'IURAN TANAH'!$A$2:$S$145,11,FALSE)</f>
        <v>#N/A</v>
      </c>
      <c r="F589" s="6" t="s">
        <v>515</v>
      </c>
      <c r="G589" s="6"/>
      <c r="H589" s="39" t="e">
        <f>VLOOKUP(H580,'IURAN TANAH'!$A$2:$S$145,11,FALSE)</f>
        <v>#N/A</v>
      </c>
      <c r="J589" s="6" t="s">
        <v>515</v>
      </c>
      <c r="K589" s="6"/>
      <c r="L589" s="39" t="e">
        <f>VLOOKUP(L580,'IURAN TANAH'!$A$2:$S$145,11,FALSE)</f>
        <v>#N/A</v>
      </c>
    </row>
    <row r="590" spans="2:12" x14ac:dyDescent="0.25">
      <c r="B590" s="5" t="s">
        <v>516</v>
      </c>
      <c r="C590" s="5"/>
      <c r="D590" s="40" t="e">
        <f>VLOOKUP(D580,'IURAN TANAH'!$A$2:$S$145,12,FALSE)</f>
        <v>#N/A</v>
      </c>
      <c r="F590" s="5" t="s">
        <v>516</v>
      </c>
      <c r="G590" s="5"/>
      <c r="H590" s="40" t="e">
        <f>VLOOKUP(H580,'IURAN TANAH'!$A$2:$S$145,12,FALSE)</f>
        <v>#N/A</v>
      </c>
      <c r="J590" s="5" t="s">
        <v>516</v>
      </c>
      <c r="K590" s="5"/>
      <c r="L590" s="40" t="e">
        <f>VLOOKUP(L580,'IURAN TANAH'!$A$2:$S$145,12,FALSE)</f>
        <v>#N/A</v>
      </c>
    </row>
    <row r="591" spans="2:12" x14ac:dyDescent="0.25">
      <c r="B591" s="6" t="s">
        <v>517</v>
      </c>
      <c r="C591" s="6"/>
      <c r="D591" s="39" t="e">
        <f>VLOOKUP(D580,'IURAN TANAH'!$A$2:$S$145,13,FALSE)</f>
        <v>#N/A</v>
      </c>
      <c r="F591" s="6" t="s">
        <v>517</v>
      </c>
      <c r="G591" s="6"/>
      <c r="H591" s="39" t="e">
        <f>VLOOKUP(H580,'IURAN TANAH'!$A$2:$S$145,13,FALSE)</f>
        <v>#N/A</v>
      </c>
      <c r="J591" s="6" t="s">
        <v>517</v>
      </c>
      <c r="K591" s="6"/>
      <c r="L591" s="39" t="e">
        <f>VLOOKUP(L580,'IURAN TANAH'!$A$2:$S$145,13,FALSE)</f>
        <v>#N/A</v>
      </c>
    </row>
    <row r="592" spans="2:12" x14ac:dyDescent="0.25">
      <c r="B592" s="5" t="s">
        <v>518</v>
      </c>
      <c r="C592" s="5"/>
      <c r="D592" s="40" t="e">
        <f>VLOOKUP(D580,'IURAN TANAH'!$A$2:$S$145,14,FALSE)</f>
        <v>#N/A</v>
      </c>
      <c r="F592" s="5" t="s">
        <v>518</v>
      </c>
      <c r="G592" s="5"/>
      <c r="H592" s="40" t="e">
        <f>VLOOKUP(H580,'IURAN TANAH'!$A$2:$S$145,14,FALSE)</f>
        <v>#N/A</v>
      </c>
      <c r="J592" s="5" t="s">
        <v>518</v>
      </c>
      <c r="K592" s="5"/>
      <c r="L592" s="40" t="e">
        <f>VLOOKUP(L580,'IURAN TANAH'!$A$2:$S$145,14,FALSE)</f>
        <v>#N/A</v>
      </c>
    </row>
    <row r="593" spans="2:12" x14ac:dyDescent="0.25">
      <c r="B593" s="6" t="s">
        <v>519</v>
      </c>
      <c r="C593" s="6"/>
      <c r="D593" s="39" t="e">
        <f>VLOOKUP(D580,'IURAN TANAH'!$A$2:$S$145,15,FALSE)</f>
        <v>#N/A</v>
      </c>
      <c r="F593" s="6" t="s">
        <v>519</v>
      </c>
      <c r="G593" s="6"/>
      <c r="H593" s="39" t="e">
        <f>VLOOKUP(H580,'IURAN TANAH'!$A$2:$S$145,15,FALSE)</f>
        <v>#N/A</v>
      </c>
      <c r="J593" s="6" t="s">
        <v>519</v>
      </c>
      <c r="K593" s="6"/>
      <c r="L593" s="39" t="e">
        <f>VLOOKUP(L580,'IURAN TANAH'!$A$2:$S$145,15,FALSE)</f>
        <v>#N/A</v>
      </c>
    </row>
    <row r="594" spans="2:12" x14ac:dyDescent="0.25">
      <c r="B594" s="5" t="s">
        <v>520</v>
      </c>
      <c r="C594" s="5"/>
      <c r="D594" s="40" t="e">
        <f>VLOOKUP(D580,'IURAN TANAH'!$A$2:$S$145,16,FALSE)</f>
        <v>#N/A</v>
      </c>
      <c r="F594" s="5" t="s">
        <v>520</v>
      </c>
      <c r="G594" s="5"/>
      <c r="H594" s="40" t="e">
        <f>VLOOKUP(H580,'IURAN TANAH'!$A$2:$S$145,16,FALSE)</f>
        <v>#N/A</v>
      </c>
      <c r="J594" s="5" t="s">
        <v>520</v>
      </c>
      <c r="K594" s="5"/>
      <c r="L594" s="40" t="e">
        <f>VLOOKUP(L580,'IURAN TANAH'!$A$2:$S$145,16,FALSE)</f>
        <v>#N/A</v>
      </c>
    </row>
    <row r="595" spans="2:12" ht="18.75" customHeight="1" x14ac:dyDescent="0.3">
      <c r="B595" s="7" t="s">
        <v>21</v>
      </c>
      <c r="C595" s="7"/>
      <c r="D595" s="41" t="e">
        <f>SUM(D585:D594)</f>
        <v>#N/A</v>
      </c>
      <c r="F595" s="7" t="s">
        <v>21</v>
      </c>
      <c r="G595" s="7"/>
      <c r="H595" s="41" t="e">
        <f>SUM(H585:H594)</f>
        <v>#N/A</v>
      </c>
      <c r="J595" s="7" t="s">
        <v>21</v>
      </c>
      <c r="K595" s="7"/>
      <c r="L595" s="41" t="e">
        <f>SUM(L585:L594)</f>
        <v>#N/A</v>
      </c>
    </row>
    <row r="596" spans="2:12" x14ac:dyDescent="0.25">
      <c r="B596" s="5"/>
      <c r="C596" s="5"/>
      <c r="D596" s="5"/>
      <c r="F596" s="5"/>
      <c r="G596" s="5"/>
      <c r="H596" s="5"/>
      <c r="J596" s="5"/>
      <c r="K596" s="5"/>
      <c r="L596" s="5"/>
    </row>
    <row r="598" spans="2:12" x14ac:dyDescent="0.25">
      <c r="B598" s="5" t="s">
        <v>2</v>
      </c>
      <c r="C598" s="5" t="s">
        <v>507</v>
      </c>
      <c r="D598" s="5">
        <v>100</v>
      </c>
      <c r="F598" s="5" t="s">
        <v>2</v>
      </c>
      <c r="G598" s="5" t="s">
        <v>507</v>
      </c>
      <c r="H598" s="5">
        <v>101</v>
      </c>
      <c r="J598" s="5" t="s">
        <v>2</v>
      </c>
      <c r="K598" s="5" t="s">
        <v>507</v>
      </c>
      <c r="L598" s="5">
        <v>102</v>
      </c>
    </row>
    <row r="599" spans="2:12" x14ac:dyDescent="0.25">
      <c r="B599" s="6" t="s">
        <v>508</v>
      </c>
      <c r="C599" s="6" t="s">
        <v>507</v>
      </c>
      <c r="D599" s="6" t="e">
        <f>VLOOKUP(D598,'IURAN TANAH'!$A$2:$S$145,2,FALSE)</f>
        <v>#N/A</v>
      </c>
      <c r="F599" s="6" t="s">
        <v>508</v>
      </c>
      <c r="G599" s="6" t="s">
        <v>507</v>
      </c>
      <c r="H599" s="6" t="e">
        <f>VLOOKUP(H598,'IURAN TANAH'!$A$2:$S$145,2,FALSE)</f>
        <v>#N/A</v>
      </c>
      <c r="J599" s="6" t="s">
        <v>508</v>
      </c>
      <c r="K599" s="6" t="s">
        <v>507</v>
      </c>
      <c r="L599" s="6" t="e">
        <f>VLOOKUP(L598,'IURAN TANAH'!$A$2:$S$145,2,FALSE)</f>
        <v>#N/A</v>
      </c>
    </row>
    <row r="600" spans="2:12" x14ac:dyDescent="0.25">
      <c r="B600" s="5" t="s">
        <v>509</v>
      </c>
      <c r="C600" s="5" t="s">
        <v>507</v>
      </c>
      <c r="D600" s="5" t="e">
        <f>VLOOKUP(D598,'IURAN TANAH'!$A$2:$S$145,3,FALSE) &amp;" " &amp;VLOOKUP(D598,'IURAN TANAH'!$A$2:$S$145,4,FALSE)</f>
        <v>#N/A</v>
      </c>
      <c r="F600" s="5" t="s">
        <v>509</v>
      </c>
      <c r="G600" s="5" t="s">
        <v>507</v>
      </c>
      <c r="H600" s="5" t="e">
        <f>VLOOKUP(H598,'IURAN TANAH'!$A$2:$S$145,3,FALSE) &amp;" " &amp;VLOOKUP(H598,'IURAN TANAH'!$A$2:$S$145,4,FALSE)</f>
        <v>#N/A</v>
      </c>
      <c r="J600" s="5" t="s">
        <v>509</v>
      </c>
      <c r="K600" s="5" t="s">
        <v>507</v>
      </c>
      <c r="L600" s="5" t="e">
        <f>VLOOKUP(L598,'IURAN TANAH'!$A$2:$S$145,3,FALSE) &amp;" " &amp;VLOOKUP(L598,'IURAN TANAH'!$A$2:$S$145,4,FALSE)</f>
        <v>#N/A</v>
      </c>
    </row>
    <row r="601" spans="2:12" x14ac:dyDescent="0.25">
      <c r="B601" s="6"/>
      <c r="C601" s="6"/>
      <c r="D601" s="6"/>
      <c r="F601" s="6"/>
      <c r="G601" s="6"/>
      <c r="H601" s="6"/>
      <c r="J601" s="6"/>
      <c r="K601" s="6"/>
      <c r="L601" s="6"/>
    </row>
    <row r="602" spans="2:12" x14ac:dyDescent="0.25">
      <c r="B602" s="5" t="s">
        <v>510</v>
      </c>
      <c r="C602" s="5"/>
      <c r="D602" s="5"/>
      <c r="F602" s="5" t="s">
        <v>510</v>
      </c>
      <c r="G602" s="5"/>
      <c r="H602" s="5"/>
      <c r="J602" s="5" t="s">
        <v>510</v>
      </c>
      <c r="K602" s="5"/>
      <c r="L602" s="5"/>
    </row>
    <row r="603" spans="2:12" x14ac:dyDescent="0.25">
      <c r="B603" s="6" t="s">
        <v>511</v>
      </c>
      <c r="C603" s="6"/>
      <c r="D603" s="39" t="e">
        <f>VLOOKUP(D598,'IURAN TANAH'!$A$2:$S$145,7,FALSE)</f>
        <v>#N/A</v>
      </c>
      <c r="F603" s="6" t="s">
        <v>511</v>
      </c>
      <c r="G603" s="6"/>
      <c r="H603" s="39" t="e">
        <f>VLOOKUP(H598,'IURAN TANAH'!$A$2:$S$145,7,FALSE)</f>
        <v>#N/A</v>
      </c>
      <c r="J603" s="6" t="s">
        <v>511</v>
      </c>
      <c r="K603" s="6"/>
      <c r="L603" s="39" t="e">
        <f>VLOOKUP(L598,'IURAN TANAH'!$A$2:$S$145,7,FALSE)</f>
        <v>#N/A</v>
      </c>
    </row>
    <row r="604" spans="2:12" x14ac:dyDescent="0.25">
      <c r="B604" s="5" t="s">
        <v>512</v>
      </c>
      <c r="C604" s="5"/>
      <c r="D604" s="40" t="e">
        <f>VLOOKUP(D598,'IURAN TANAH'!$A$2:$S$145,8,FALSE)</f>
        <v>#N/A</v>
      </c>
      <c r="F604" s="5" t="s">
        <v>512</v>
      </c>
      <c r="G604" s="5"/>
      <c r="H604" s="40" t="e">
        <f>VLOOKUP(H598,'IURAN TANAH'!$A$2:$S$145,8,FALSE)</f>
        <v>#N/A</v>
      </c>
      <c r="J604" s="5" t="s">
        <v>512</v>
      </c>
      <c r="K604" s="5"/>
      <c r="L604" s="40" t="e">
        <f>VLOOKUP(L598,'IURAN TANAH'!$A$2:$S$145,8,FALSE)</f>
        <v>#N/A</v>
      </c>
    </row>
    <row r="605" spans="2:12" x14ac:dyDescent="0.25">
      <c r="B605" s="6" t="s">
        <v>513</v>
      </c>
      <c r="C605" s="6"/>
      <c r="D605" s="39" t="e">
        <f>VLOOKUP(D598,'IURAN TANAH'!$A$2:$S$145,9,FALSE)</f>
        <v>#N/A</v>
      </c>
      <c r="F605" s="6" t="s">
        <v>513</v>
      </c>
      <c r="G605" s="6"/>
      <c r="H605" s="39" t="e">
        <f>VLOOKUP(H598,'IURAN TANAH'!$A$2:$S$145,9,FALSE)</f>
        <v>#N/A</v>
      </c>
      <c r="J605" s="6" t="s">
        <v>513</v>
      </c>
      <c r="K605" s="6"/>
      <c r="L605" s="39" t="e">
        <f>VLOOKUP(L598,'IURAN TANAH'!$A$2:$S$145,9,FALSE)</f>
        <v>#N/A</v>
      </c>
    </row>
    <row r="606" spans="2:12" x14ac:dyDescent="0.25">
      <c r="B606" s="5" t="s">
        <v>514</v>
      </c>
      <c r="C606" s="5"/>
      <c r="D606" s="40" t="e">
        <f>VLOOKUP(D598,'IURAN TANAH'!$A$2:$S$145,10,FALSE)</f>
        <v>#N/A</v>
      </c>
      <c r="F606" s="5" t="s">
        <v>514</v>
      </c>
      <c r="G606" s="5"/>
      <c r="H606" s="40" t="e">
        <f>VLOOKUP(H598,'IURAN TANAH'!$A$2:$S$145,10,FALSE)</f>
        <v>#N/A</v>
      </c>
      <c r="J606" s="5" t="s">
        <v>514</v>
      </c>
      <c r="K606" s="5"/>
      <c r="L606" s="40" t="e">
        <f>VLOOKUP(L598,'IURAN TANAH'!$A$2:$S$145,10,FALSE)</f>
        <v>#N/A</v>
      </c>
    </row>
    <row r="607" spans="2:12" x14ac:dyDescent="0.25">
      <c r="B607" s="6" t="s">
        <v>515</v>
      </c>
      <c r="C607" s="6"/>
      <c r="D607" s="39" t="e">
        <f>VLOOKUP(D598,'IURAN TANAH'!$A$2:$S$145,11,FALSE)</f>
        <v>#N/A</v>
      </c>
      <c r="F607" s="6" t="s">
        <v>515</v>
      </c>
      <c r="G607" s="6"/>
      <c r="H607" s="39" t="e">
        <f>VLOOKUP(H598,'IURAN TANAH'!$A$2:$S$145,11,FALSE)</f>
        <v>#N/A</v>
      </c>
      <c r="J607" s="6" t="s">
        <v>515</v>
      </c>
      <c r="K607" s="6"/>
      <c r="L607" s="39" t="e">
        <f>VLOOKUP(L598,'IURAN TANAH'!$A$2:$S$145,11,FALSE)</f>
        <v>#N/A</v>
      </c>
    </row>
    <row r="608" spans="2:12" x14ac:dyDescent="0.25">
      <c r="B608" s="5" t="s">
        <v>516</v>
      </c>
      <c r="C608" s="5"/>
      <c r="D608" s="40" t="e">
        <f>VLOOKUP(D598,'IURAN TANAH'!$A$2:$S$145,12,FALSE)</f>
        <v>#N/A</v>
      </c>
      <c r="F608" s="5" t="s">
        <v>516</v>
      </c>
      <c r="G608" s="5"/>
      <c r="H608" s="40" t="e">
        <f>VLOOKUP(H598,'IURAN TANAH'!$A$2:$S$145,12,FALSE)</f>
        <v>#N/A</v>
      </c>
      <c r="J608" s="5" t="s">
        <v>516</v>
      </c>
      <c r="K608" s="5"/>
      <c r="L608" s="40" t="e">
        <f>VLOOKUP(L598,'IURAN TANAH'!$A$2:$S$145,12,FALSE)</f>
        <v>#N/A</v>
      </c>
    </row>
    <row r="609" spans="2:12" x14ac:dyDescent="0.25">
      <c r="B609" s="6" t="s">
        <v>517</v>
      </c>
      <c r="C609" s="6"/>
      <c r="D609" s="39" t="e">
        <f>VLOOKUP(D598,'IURAN TANAH'!$A$2:$S$145,13,FALSE)</f>
        <v>#N/A</v>
      </c>
      <c r="F609" s="6" t="s">
        <v>517</v>
      </c>
      <c r="G609" s="6"/>
      <c r="H609" s="39" t="e">
        <f>VLOOKUP(H598,'IURAN TANAH'!$A$2:$S$145,13,FALSE)</f>
        <v>#N/A</v>
      </c>
      <c r="J609" s="6" t="s">
        <v>517</v>
      </c>
      <c r="K609" s="6"/>
      <c r="L609" s="39" t="e">
        <f>VLOOKUP(L598,'IURAN TANAH'!$A$2:$S$145,13,FALSE)</f>
        <v>#N/A</v>
      </c>
    </row>
    <row r="610" spans="2:12" x14ac:dyDescent="0.25">
      <c r="B610" s="5" t="s">
        <v>518</v>
      </c>
      <c r="C610" s="5"/>
      <c r="D610" s="40" t="e">
        <f>VLOOKUP(D598,'IURAN TANAH'!$A$2:$S$145,14,FALSE)</f>
        <v>#N/A</v>
      </c>
      <c r="F610" s="5" t="s">
        <v>518</v>
      </c>
      <c r="G610" s="5"/>
      <c r="H610" s="40" t="e">
        <f>VLOOKUP(H598,'IURAN TANAH'!$A$2:$S$145,14,FALSE)</f>
        <v>#N/A</v>
      </c>
      <c r="J610" s="5" t="s">
        <v>518</v>
      </c>
      <c r="K610" s="5"/>
      <c r="L610" s="40" t="e">
        <f>VLOOKUP(L598,'IURAN TANAH'!$A$2:$S$145,14,FALSE)</f>
        <v>#N/A</v>
      </c>
    </row>
    <row r="611" spans="2:12" x14ac:dyDescent="0.25">
      <c r="B611" s="6" t="s">
        <v>519</v>
      </c>
      <c r="C611" s="6"/>
      <c r="D611" s="39" t="e">
        <f>VLOOKUP(D598,'IURAN TANAH'!$A$2:$S$145,15,FALSE)</f>
        <v>#N/A</v>
      </c>
      <c r="F611" s="6" t="s">
        <v>519</v>
      </c>
      <c r="G611" s="6"/>
      <c r="H611" s="39" t="e">
        <f>VLOOKUP(H598,'IURAN TANAH'!$A$2:$S$145,15,FALSE)</f>
        <v>#N/A</v>
      </c>
      <c r="J611" s="6" t="s">
        <v>519</v>
      </c>
      <c r="K611" s="6"/>
      <c r="L611" s="39" t="e">
        <f>VLOOKUP(L598,'IURAN TANAH'!$A$2:$S$145,15,FALSE)</f>
        <v>#N/A</v>
      </c>
    </row>
    <row r="612" spans="2:12" x14ac:dyDescent="0.25">
      <c r="B612" s="5" t="s">
        <v>520</v>
      </c>
      <c r="C612" s="5"/>
      <c r="D612" s="40" t="e">
        <f>VLOOKUP(D598,'IURAN TANAH'!$A$2:$S$145,16,FALSE)</f>
        <v>#N/A</v>
      </c>
      <c r="F612" s="5" t="s">
        <v>520</v>
      </c>
      <c r="G612" s="5"/>
      <c r="H612" s="40" t="e">
        <f>VLOOKUP(H598,'IURAN TANAH'!$A$2:$S$145,16,FALSE)</f>
        <v>#N/A</v>
      </c>
      <c r="J612" s="5" t="s">
        <v>520</v>
      </c>
      <c r="K612" s="5"/>
      <c r="L612" s="40" t="e">
        <f>VLOOKUP(L598,'IURAN TANAH'!$A$2:$S$145,16,FALSE)</f>
        <v>#N/A</v>
      </c>
    </row>
    <row r="613" spans="2:12" ht="18.75" customHeight="1" x14ac:dyDescent="0.3">
      <c r="B613" s="7" t="s">
        <v>21</v>
      </c>
      <c r="C613" s="7"/>
      <c r="D613" s="41" t="e">
        <f>SUM(D603:D612)</f>
        <v>#N/A</v>
      </c>
      <c r="F613" s="7" t="s">
        <v>21</v>
      </c>
      <c r="G613" s="7"/>
      <c r="H613" s="41" t="e">
        <f>SUM(H603:H612)</f>
        <v>#N/A</v>
      </c>
      <c r="J613" s="7" t="s">
        <v>21</v>
      </c>
      <c r="K613" s="7"/>
      <c r="L613" s="41" t="e">
        <f>SUM(L603:L612)</f>
        <v>#N/A</v>
      </c>
    </row>
    <row r="614" spans="2:12" x14ac:dyDescent="0.25">
      <c r="B614" s="5"/>
      <c r="C614" s="5"/>
      <c r="D614" s="5"/>
      <c r="F614" s="5"/>
      <c r="G614" s="5"/>
      <c r="H614" s="5"/>
      <c r="J614" s="5"/>
      <c r="K614" s="5"/>
      <c r="L614" s="5"/>
    </row>
    <row r="616" spans="2:12" x14ac:dyDescent="0.25">
      <c r="B616" s="5" t="s">
        <v>2</v>
      </c>
      <c r="C616" s="5" t="s">
        <v>507</v>
      </c>
      <c r="D616" s="5">
        <v>103</v>
      </c>
      <c r="F616" s="5" t="s">
        <v>2</v>
      </c>
      <c r="G616" s="5" t="s">
        <v>507</v>
      </c>
      <c r="H616" s="5">
        <v>104</v>
      </c>
      <c r="J616" s="5" t="s">
        <v>2</v>
      </c>
      <c r="K616" s="5" t="s">
        <v>507</v>
      </c>
      <c r="L616" s="5">
        <v>105</v>
      </c>
    </row>
    <row r="617" spans="2:12" x14ac:dyDescent="0.25">
      <c r="B617" s="6" t="s">
        <v>508</v>
      </c>
      <c r="C617" s="6" t="s">
        <v>507</v>
      </c>
      <c r="D617" s="6" t="e">
        <f>VLOOKUP(D616,'IURAN TANAH'!$A$2:$S$145,2,FALSE)</f>
        <v>#N/A</v>
      </c>
      <c r="F617" s="6" t="s">
        <v>508</v>
      </c>
      <c r="G617" s="6" t="s">
        <v>507</v>
      </c>
      <c r="H617" s="6" t="e">
        <f>VLOOKUP(H616,'IURAN TANAH'!$A$2:$S$145,2,FALSE)</f>
        <v>#N/A</v>
      </c>
      <c r="J617" s="6" t="s">
        <v>508</v>
      </c>
      <c r="K617" s="6" t="s">
        <v>507</v>
      </c>
      <c r="L617" s="6" t="e">
        <f>VLOOKUP(L616,'IURAN TANAH'!$A$2:$S$145,2,FALSE)</f>
        <v>#N/A</v>
      </c>
    </row>
    <row r="618" spans="2:12" x14ac:dyDescent="0.25">
      <c r="B618" s="5" t="s">
        <v>509</v>
      </c>
      <c r="C618" s="5" t="s">
        <v>507</v>
      </c>
      <c r="D618" s="5" t="e">
        <f>VLOOKUP(D616,'IURAN TANAH'!$A$2:$S$145,3,FALSE) &amp;" " &amp;VLOOKUP(D616,'IURAN TANAH'!$A$2:$S$145,4,FALSE)</f>
        <v>#N/A</v>
      </c>
      <c r="F618" s="5" t="s">
        <v>509</v>
      </c>
      <c r="G618" s="5" t="s">
        <v>507</v>
      </c>
      <c r="H618" s="5" t="e">
        <f>VLOOKUP(H616,'IURAN TANAH'!$A$2:$S$145,3,FALSE) &amp;" " &amp;VLOOKUP(H616,'IURAN TANAH'!$A$2:$S$145,4,FALSE)</f>
        <v>#N/A</v>
      </c>
      <c r="J618" s="5" t="s">
        <v>509</v>
      </c>
      <c r="K618" s="5" t="s">
        <v>507</v>
      </c>
      <c r="L618" s="5" t="e">
        <f>VLOOKUP(L616,'IURAN TANAH'!$A$2:$S$145,3,FALSE) &amp;" " &amp;VLOOKUP(L616,'IURAN TANAH'!$A$2:$S$145,4,FALSE)</f>
        <v>#N/A</v>
      </c>
    </row>
    <row r="619" spans="2:12" x14ac:dyDescent="0.25">
      <c r="B619" s="6"/>
      <c r="C619" s="6"/>
      <c r="D619" s="6"/>
      <c r="F619" s="6"/>
      <c r="G619" s="6"/>
      <c r="H619" s="6"/>
      <c r="J619" s="6"/>
      <c r="K619" s="6"/>
      <c r="L619" s="6"/>
    </row>
    <row r="620" spans="2:12" x14ac:dyDescent="0.25">
      <c r="B620" s="5" t="s">
        <v>510</v>
      </c>
      <c r="C620" s="5"/>
      <c r="D620" s="5"/>
      <c r="F620" s="5" t="s">
        <v>510</v>
      </c>
      <c r="G620" s="5"/>
      <c r="H620" s="5"/>
      <c r="J620" s="5" t="s">
        <v>510</v>
      </c>
      <c r="K620" s="5"/>
      <c r="L620" s="5"/>
    </row>
    <row r="621" spans="2:12" x14ac:dyDescent="0.25">
      <c r="B621" s="6" t="s">
        <v>511</v>
      </c>
      <c r="C621" s="6"/>
      <c r="D621" s="39" t="e">
        <f>VLOOKUP(D616,'IURAN TANAH'!$A$2:$S$145,7,FALSE)</f>
        <v>#N/A</v>
      </c>
      <c r="F621" s="6" t="s">
        <v>511</v>
      </c>
      <c r="G621" s="6"/>
      <c r="H621" s="39" t="e">
        <f>VLOOKUP(H616,'IURAN TANAH'!$A$2:$S$145,7,FALSE)</f>
        <v>#N/A</v>
      </c>
      <c r="J621" s="6" t="s">
        <v>511</v>
      </c>
      <c r="K621" s="6"/>
      <c r="L621" s="39" t="e">
        <f>VLOOKUP(L616,'IURAN TANAH'!$A$2:$S$145,7,FALSE)</f>
        <v>#N/A</v>
      </c>
    </row>
    <row r="622" spans="2:12" x14ac:dyDescent="0.25">
      <c r="B622" s="5" t="s">
        <v>512</v>
      </c>
      <c r="C622" s="5"/>
      <c r="D622" s="40" t="e">
        <f>VLOOKUP(D616,'IURAN TANAH'!$A$2:$S$145,8,FALSE)</f>
        <v>#N/A</v>
      </c>
      <c r="F622" s="5" t="s">
        <v>512</v>
      </c>
      <c r="G622" s="5"/>
      <c r="H622" s="40" t="e">
        <f>VLOOKUP(H616,'IURAN TANAH'!$A$2:$S$145,8,FALSE)</f>
        <v>#N/A</v>
      </c>
      <c r="J622" s="5" t="s">
        <v>512</v>
      </c>
      <c r="K622" s="5"/>
      <c r="L622" s="40" t="e">
        <f>VLOOKUP(L616,'IURAN TANAH'!$A$2:$S$145,8,FALSE)</f>
        <v>#N/A</v>
      </c>
    </row>
    <row r="623" spans="2:12" x14ac:dyDescent="0.25">
      <c r="B623" s="6" t="s">
        <v>513</v>
      </c>
      <c r="C623" s="6"/>
      <c r="D623" s="39" t="e">
        <f>VLOOKUP(D616,'IURAN TANAH'!$A$2:$S$145,9,FALSE)</f>
        <v>#N/A</v>
      </c>
      <c r="F623" s="6" t="s">
        <v>513</v>
      </c>
      <c r="G623" s="6"/>
      <c r="H623" s="39" t="e">
        <f>VLOOKUP(H616,'IURAN TANAH'!$A$2:$S$145,9,FALSE)</f>
        <v>#N/A</v>
      </c>
      <c r="J623" s="6" t="s">
        <v>513</v>
      </c>
      <c r="K623" s="6"/>
      <c r="L623" s="39" t="e">
        <f>VLOOKUP(L616,'IURAN TANAH'!$A$2:$S$145,9,FALSE)</f>
        <v>#N/A</v>
      </c>
    </row>
    <row r="624" spans="2:12" x14ac:dyDescent="0.25">
      <c r="B624" s="5" t="s">
        <v>514</v>
      </c>
      <c r="C624" s="5"/>
      <c r="D624" s="40" t="e">
        <f>VLOOKUP(D616,'IURAN TANAH'!$A$2:$S$145,10,FALSE)</f>
        <v>#N/A</v>
      </c>
      <c r="F624" s="5" t="s">
        <v>514</v>
      </c>
      <c r="G624" s="5"/>
      <c r="H624" s="40" t="e">
        <f>VLOOKUP(H616,'IURAN TANAH'!$A$2:$S$145,10,FALSE)</f>
        <v>#N/A</v>
      </c>
      <c r="J624" s="5" t="s">
        <v>514</v>
      </c>
      <c r="K624" s="5"/>
      <c r="L624" s="40" t="e">
        <f>VLOOKUP(L616,'IURAN TANAH'!$A$2:$S$145,10,FALSE)</f>
        <v>#N/A</v>
      </c>
    </row>
    <row r="625" spans="2:12" x14ac:dyDescent="0.25">
      <c r="B625" s="6" t="s">
        <v>515</v>
      </c>
      <c r="C625" s="6"/>
      <c r="D625" s="39" t="e">
        <f>VLOOKUP(D616,'IURAN TANAH'!$A$2:$S$145,11,FALSE)</f>
        <v>#N/A</v>
      </c>
      <c r="F625" s="6" t="s">
        <v>515</v>
      </c>
      <c r="G625" s="6"/>
      <c r="H625" s="39" t="e">
        <f>VLOOKUP(H616,'IURAN TANAH'!$A$2:$S$145,11,FALSE)</f>
        <v>#N/A</v>
      </c>
      <c r="J625" s="6" t="s">
        <v>515</v>
      </c>
      <c r="K625" s="6"/>
      <c r="L625" s="39" t="e">
        <f>VLOOKUP(L616,'IURAN TANAH'!$A$2:$S$145,11,FALSE)</f>
        <v>#N/A</v>
      </c>
    </row>
    <row r="626" spans="2:12" x14ac:dyDescent="0.25">
      <c r="B626" s="5" t="s">
        <v>516</v>
      </c>
      <c r="C626" s="5"/>
      <c r="D626" s="40" t="e">
        <f>VLOOKUP(D616,'IURAN TANAH'!$A$2:$S$145,12,FALSE)</f>
        <v>#N/A</v>
      </c>
      <c r="F626" s="5" t="s">
        <v>516</v>
      </c>
      <c r="G626" s="5"/>
      <c r="H626" s="40" t="e">
        <f>VLOOKUP(H616,'IURAN TANAH'!$A$2:$S$145,12,FALSE)</f>
        <v>#N/A</v>
      </c>
      <c r="J626" s="5" t="s">
        <v>516</v>
      </c>
      <c r="K626" s="5"/>
      <c r="L626" s="40" t="e">
        <f>VLOOKUP(L616,'IURAN TANAH'!$A$2:$S$145,12,FALSE)</f>
        <v>#N/A</v>
      </c>
    </row>
    <row r="627" spans="2:12" x14ac:dyDescent="0.25">
      <c r="B627" s="6" t="s">
        <v>517</v>
      </c>
      <c r="C627" s="6"/>
      <c r="D627" s="39" t="e">
        <f>VLOOKUP(D616,'IURAN TANAH'!$A$2:$S$145,13,FALSE)</f>
        <v>#N/A</v>
      </c>
      <c r="F627" s="6" t="s">
        <v>517</v>
      </c>
      <c r="G627" s="6"/>
      <c r="H627" s="39" t="e">
        <f>VLOOKUP(H616,'IURAN TANAH'!$A$2:$S$145,13,FALSE)</f>
        <v>#N/A</v>
      </c>
      <c r="J627" s="6" t="s">
        <v>517</v>
      </c>
      <c r="K627" s="6"/>
      <c r="L627" s="39" t="e">
        <f>VLOOKUP(L616,'IURAN TANAH'!$A$2:$S$145,13,FALSE)</f>
        <v>#N/A</v>
      </c>
    </row>
    <row r="628" spans="2:12" x14ac:dyDescent="0.25">
      <c r="B628" s="5" t="s">
        <v>518</v>
      </c>
      <c r="C628" s="5"/>
      <c r="D628" s="40" t="e">
        <f>VLOOKUP(D616,'IURAN TANAH'!$A$2:$S$145,14,FALSE)</f>
        <v>#N/A</v>
      </c>
      <c r="F628" s="5" t="s">
        <v>518</v>
      </c>
      <c r="G628" s="5"/>
      <c r="H628" s="40" t="e">
        <f>VLOOKUP(H616,'IURAN TANAH'!$A$2:$S$145,14,FALSE)</f>
        <v>#N/A</v>
      </c>
      <c r="J628" s="5" t="s">
        <v>518</v>
      </c>
      <c r="K628" s="5"/>
      <c r="L628" s="40" t="e">
        <f>VLOOKUP(L616,'IURAN TANAH'!$A$2:$S$145,14,FALSE)</f>
        <v>#N/A</v>
      </c>
    </row>
    <row r="629" spans="2:12" x14ac:dyDescent="0.25">
      <c r="B629" s="6" t="s">
        <v>519</v>
      </c>
      <c r="C629" s="6"/>
      <c r="D629" s="39" t="e">
        <f>VLOOKUP(D616,'IURAN TANAH'!$A$2:$S$145,15,FALSE)</f>
        <v>#N/A</v>
      </c>
      <c r="F629" s="6" t="s">
        <v>519</v>
      </c>
      <c r="G629" s="6"/>
      <c r="H629" s="39" t="e">
        <f>VLOOKUP(H616,'IURAN TANAH'!$A$2:$S$145,15,FALSE)</f>
        <v>#N/A</v>
      </c>
      <c r="J629" s="6" t="s">
        <v>519</v>
      </c>
      <c r="K629" s="6"/>
      <c r="L629" s="39" t="e">
        <f>VLOOKUP(L616,'IURAN TANAH'!$A$2:$S$145,15,FALSE)</f>
        <v>#N/A</v>
      </c>
    </row>
    <row r="630" spans="2:12" x14ac:dyDescent="0.25">
      <c r="B630" s="5" t="s">
        <v>520</v>
      </c>
      <c r="C630" s="5"/>
      <c r="D630" s="40" t="e">
        <f>VLOOKUP(D616,'IURAN TANAH'!$A$2:$S$145,16,FALSE)</f>
        <v>#N/A</v>
      </c>
      <c r="F630" s="5" t="s">
        <v>520</v>
      </c>
      <c r="G630" s="5"/>
      <c r="H630" s="40" t="e">
        <f>VLOOKUP(H616,'IURAN TANAH'!$A$2:$S$145,16,FALSE)</f>
        <v>#N/A</v>
      </c>
      <c r="J630" s="5" t="s">
        <v>520</v>
      </c>
      <c r="K630" s="5"/>
      <c r="L630" s="40" t="e">
        <f>VLOOKUP(L616,'IURAN TANAH'!$A$2:$S$145,16,FALSE)</f>
        <v>#N/A</v>
      </c>
    </row>
    <row r="631" spans="2:12" ht="18.75" customHeight="1" x14ac:dyDescent="0.3">
      <c r="B631" s="7" t="s">
        <v>21</v>
      </c>
      <c r="C631" s="7"/>
      <c r="D631" s="41" t="e">
        <f>SUM(D621:D630)</f>
        <v>#N/A</v>
      </c>
      <c r="F631" s="7" t="s">
        <v>21</v>
      </c>
      <c r="G631" s="7"/>
      <c r="H631" s="41" t="e">
        <f>SUM(H621:H630)</f>
        <v>#N/A</v>
      </c>
      <c r="J631" s="7" t="s">
        <v>21</v>
      </c>
      <c r="K631" s="7"/>
      <c r="L631" s="41" t="e">
        <f>SUM(L621:L630)</f>
        <v>#N/A</v>
      </c>
    </row>
    <row r="632" spans="2:12" x14ac:dyDescent="0.25">
      <c r="B632" s="5"/>
      <c r="C632" s="5"/>
      <c r="D632" s="5"/>
      <c r="F632" s="5"/>
      <c r="G632" s="5"/>
      <c r="H632" s="5"/>
      <c r="J632" s="5"/>
      <c r="K632" s="5"/>
      <c r="L632" s="5"/>
    </row>
    <row r="634" spans="2:12" x14ac:dyDescent="0.25">
      <c r="B634" s="5" t="s">
        <v>2</v>
      </c>
      <c r="C634" s="5" t="s">
        <v>507</v>
      </c>
      <c r="D634" s="5">
        <v>106</v>
      </c>
      <c r="F634" s="5" t="s">
        <v>2</v>
      </c>
      <c r="G634" s="5" t="s">
        <v>507</v>
      </c>
      <c r="H634" s="5">
        <v>107</v>
      </c>
      <c r="J634" s="5" t="s">
        <v>2</v>
      </c>
      <c r="K634" s="5" t="s">
        <v>507</v>
      </c>
      <c r="L634" s="5">
        <v>108</v>
      </c>
    </row>
    <row r="635" spans="2:12" x14ac:dyDescent="0.25">
      <c r="B635" s="6" t="s">
        <v>508</v>
      </c>
      <c r="C635" s="6" t="s">
        <v>507</v>
      </c>
      <c r="D635" s="6" t="e">
        <f>VLOOKUP(D634,'IURAN TANAH'!$A$2:$S$145,2,FALSE)</f>
        <v>#N/A</v>
      </c>
      <c r="F635" s="6" t="s">
        <v>508</v>
      </c>
      <c r="G635" s="6" t="s">
        <v>507</v>
      </c>
      <c r="H635" s="6" t="e">
        <f>VLOOKUP(H634,'IURAN TANAH'!$A$2:$S$145,2,FALSE)</f>
        <v>#N/A</v>
      </c>
      <c r="J635" s="6" t="s">
        <v>508</v>
      </c>
      <c r="K635" s="6" t="s">
        <v>507</v>
      </c>
      <c r="L635" s="6" t="e">
        <f>VLOOKUP(L634,'IURAN TANAH'!$A$2:$S$145,2,FALSE)</f>
        <v>#N/A</v>
      </c>
    </row>
    <row r="636" spans="2:12" x14ac:dyDescent="0.25">
      <c r="B636" s="5" t="s">
        <v>509</v>
      </c>
      <c r="C636" s="5" t="s">
        <v>507</v>
      </c>
      <c r="D636" s="5" t="e">
        <f>VLOOKUP(D634,'IURAN TANAH'!$A$2:$S$145,3,FALSE) &amp;" " &amp;VLOOKUP(D634,'IURAN TANAH'!$A$2:$S$145,4,FALSE)</f>
        <v>#N/A</v>
      </c>
      <c r="F636" s="5" t="s">
        <v>509</v>
      </c>
      <c r="G636" s="5" t="s">
        <v>507</v>
      </c>
      <c r="H636" s="5" t="e">
        <f>VLOOKUP(H634,'IURAN TANAH'!$A$2:$S$145,3,FALSE) &amp;" " &amp;VLOOKUP(H634,'IURAN TANAH'!$A$2:$S$145,4,FALSE)</f>
        <v>#N/A</v>
      </c>
      <c r="J636" s="5" t="s">
        <v>509</v>
      </c>
      <c r="K636" s="5" t="s">
        <v>507</v>
      </c>
      <c r="L636" s="5" t="e">
        <f>VLOOKUP(L634,'IURAN TANAH'!$A$2:$S$145,3,FALSE) &amp;" " &amp;VLOOKUP(L634,'IURAN TANAH'!$A$2:$S$145,4,FALSE)</f>
        <v>#N/A</v>
      </c>
    </row>
    <row r="637" spans="2:12" x14ac:dyDescent="0.25">
      <c r="B637" s="6"/>
      <c r="C637" s="6"/>
      <c r="D637" s="6"/>
      <c r="F637" s="6"/>
      <c r="G637" s="6"/>
      <c r="H637" s="6"/>
      <c r="J637" s="6"/>
      <c r="K637" s="6"/>
      <c r="L637" s="6"/>
    </row>
    <row r="638" spans="2:12" x14ac:dyDescent="0.25">
      <c r="B638" s="5" t="s">
        <v>510</v>
      </c>
      <c r="C638" s="5"/>
      <c r="D638" s="5"/>
      <c r="F638" s="5" t="s">
        <v>510</v>
      </c>
      <c r="G638" s="5"/>
      <c r="H638" s="5"/>
      <c r="J638" s="5" t="s">
        <v>510</v>
      </c>
      <c r="K638" s="5"/>
      <c r="L638" s="5"/>
    </row>
    <row r="639" spans="2:12" x14ac:dyDescent="0.25">
      <c r="B639" s="6" t="s">
        <v>511</v>
      </c>
      <c r="C639" s="6"/>
      <c r="D639" s="39" t="e">
        <f>VLOOKUP(D634,'IURAN TANAH'!$A$2:$S$145,7,FALSE)</f>
        <v>#N/A</v>
      </c>
      <c r="F639" s="6" t="s">
        <v>511</v>
      </c>
      <c r="G639" s="6"/>
      <c r="H639" s="39" t="e">
        <f>VLOOKUP(H634,'IURAN TANAH'!$A$2:$S$145,7,FALSE)</f>
        <v>#N/A</v>
      </c>
      <c r="J639" s="6" t="s">
        <v>511</v>
      </c>
      <c r="K639" s="6"/>
      <c r="L639" s="39" t="e">
        <f>VLOOKUP(L634,'IURAN TANAH'!$A$2:$S$145,7,FALSE)</f>
        <v>#N/A</v>
      </c>
    </row>
    <row r="640" spans="2:12" x14ac:dyDescent="0.25">
      <c r="B640" s="5" t="s">
        <v>512</v>
      </c>
      <c r="C640" s="5"/>
      <c r="D640" s="40" t="e">
        <f>VLOOKUP(D634,'IURAN TANAH'!$A$2:$S$145,8,FALSE)</f>
        <v>#N/A</v>
      </c>
      <c r="F640" s="5" t="s">
        <v>512</v>
      </c>
      <c r="G640" s="5"/>
      <c r="H640" s="40" t="e">
        <f>VLOOKUP(H634,'IURAN TANAH'!$A$2:$S$145,8,FALSE)</f>
        <v>#N/A</v>
      </c>
      <c r="J640" s="5" t="s">
        <v>512</v>
      </c>
      <c r="K640" s="5"/>
      <c r="L640" s="40" t="e">
        <f>VLOOKUP(L634,'IURAN TANAH'!$A$2:$S$145,8,FALSE)</f>
        <v>#N/A</v>
      </c>
    </row>
    <row r="641" spans="2:12" x14ac:dyDescent="0.25">
      <c r="B641" s="6" t="s">
        <v>513</v>
      </c>
      <c r="C641" s="6"/>
      <c r="D641" s="39" t="e">
        <f>VLOOKUP(D634,'IURAN TANAH'!$A$2:$S$145,9,FALSE)</f>
        <v>#N/A</v>
      </c>
      <c r="F641" s="6" t="s">
        <v>513</v>
      </c>
      <c r="G641" s="6"/>
      <c r="H641" s="39" t="e">
        <f>VLOOKUP(H634,'IURAN TANAH'!$A$2:$S$145,9,FALSE)</f>
        <v>#N/A</v>
      </c>
      <c r="J641" s="6" t="s">
        <v>513</v>
      </c>
      <c r="K641" s="6"/>
      <c r="L641" s="39" t="e">
        <f>VLOOKUP(L634,'IURAN TANAH'!$A$2:$S$145,9,FALSE)</f>
        <v>#N/A</v>
      </c>
    </row>
    <row r="642" spans="2:12" x14ac:dyDescent="0.25">
      <c r="B642" s="5" t="s">
        <v>514</v>
      </c>
      <c r="C642" s="5"/>
      <c r="D642" s="40" t="e">
        <f>VLOOKUP(D634,'IURAN TANAH'!$A$2:$S$145,10,FALSE)</f>
        <v>#N/A</v>
      </c>
      <c r="F642" s="5" t="s">
        <v>514</v>
      </c>
      <c r="G642" s="5"/>
      <c r="H642" s="40" t="e">
        <f>VLOOKUP(H634,'IURAN TANAH'!$A$2:$S$145,10,FALSE)</f>
        <v>#N/A</v>
      </c>
      <c r="J642" s="5" t="s">
        <v>514</v>
      </c>
      <c r="K642" s="5"/>
      <c r="L642" s="40" t="e">
        <f>VLOOKUP(L634,'IURAN TANAH'!$A$2:$S$145,10,FALSE)</f>
        <v>#N/A</v>
      </c>
    </row>
    <row r="643" spans="2:12" x14ac:dyDescent="0.25">
      <c r="B643" s="6" t="s">
        <v>515</v>
      </c>
      <c r="C643" s="6"/>
      <c r="D643" s="39" t="e">
        <f>VLOOKUP(D634,'IURAN TANAH'!$A$2:$S$145,11,FALSE)</f>
        <v>#N/A</v>
      </c>
      <c r="F643" s="6" t="s">
        <v>515</v>
      </c>
      <c r="G643" s="6"/>
      <c r="H643" s="39" t="e">
        <f>VLOOKUP(H634,'IURAN TANAH'!$A$2:$S$145,11,FALSE)</f>
        <v>#N/A</v>
      </c>
      <c r="J643" s="6" t="s">
        <v>515</v>
      </c>
      <c r="K643" s="6"/>
      <c r="L643" s="39" t="e">
        <f>VLOOKUP(L634,'IURAN TANAH'!$A$2:$S$145,11,FALSE)</f>
        <v>#N/A</v>
      </c>
    </row>
    <row r="644" spans="2:12" x14ac:dyDescent="0.25">
      <c r="B644" s="5" t="s">
        <v>516</v>
      </c>
      <c r="C644" s="5"/>
      <c r="D644" s="40" t="e">
        <f>VLOOKUP(D634,'IURAN TANAH'!$A$2:$S$145,12,FALSE)</f>
        <v>#N/A</v>
      </c>
      <c r="F644" s="5" t="s">
        <v>516</v>
      </c>
      <c r="G644" s="5"/>
      <c r="H644" s="40" t="e">
        <f>VLOOKUP(H634,'IURAN TANAH'!$A$2:$S$145,12,FALSE)</f>
        <v>#N/A</v>
      </c>
      <c r="J644" s="5" t="s">
        <v>516</v>
      </c>
      <c r="K644" s="5"/>
      <c r="L644" s="40" t="e">
        <f>VLOOKUP(L634,'IURAN TANAH'!$A$2:$S$145,12,FALSE)</f>
        <v>#N/A</v>
      </c>
    </row>
    <row r="645" spans="2:12" x14ac:dyDescent="0.25">
      <c r="B645" s="6" t="s">
        <v>517</v>
      </c>
      <c r="C645" s="6"/>
      <c r="D645" s="39" t="e">
        <f>VLOOKUP(D634,'IURAN TANAH'!$A$2:$S$145,13,FALSE)</f>
        <v>#N/A</v>
      </c>
      <c r="F645" s="6" t="s">
        <v>517</v>
      </c>
      <c r="G645" s="6"/>
      <c r="H645" s="39" t="e">
        <f>VLOOKUP(H634,'IURAN TANAH'!$A$2:$S$145,13,FALSE)</f>
        <v>#N/A</v>
      </c>
      <c r="J645" s="6" t="s">
        <v>517</v>
      </c>
      <c r="K645" s="6"/>
      <c r="L645" s="39" t="e">
        <f>VLOOKUP(L634,'IURAN TANAH'!$A$2:$S$145,13,FALSE)</f>
        <v>#N/A</v>
      </c>
    </row>
    <row r="646" spans="2:12" x14ac:dyDescent="0.25">
      <c r="B646" s="5" t="s">
        <v>518</v>
      </c>
      <c r="C646" s="5"/>
      <c r="D646" s="40" t="e">
        <f>VLOOKUP(D634,'IURAN TANAH'!$A$2:$S$145,14,FALSE)</f>
        <v>#N/A</v>
      </c>
      <c r="F646" s="5" t="s">
        <v>518</v>
      </c>
      <c r="G646" s="5"/>
      <c r="H646" s="40" t="e">
        <f>VLOOKUP(H634,'IURAN TANAH'!$A$2:$S$145,14,FALSE)</f>
        <v>#N/A</v>
      </c>
      <c r="J646" s="5" t="s">
        <v>518</v>
      </c>
      <c r="K646" s="5"/>
      <c r="L646" s="40" t="e">
        <f>VLOOKUP(L634,'IURAN TANAH'!$A$2:$S$145,14,FALSE)</f>
        <v>#N/A</v>
      </c>
    </row>
    <row r="647" spans="2:12" x14ac:dyDescent="0.25">
      <c r="B647" s="6" t="s">
        <v>519</v>
      </c>
      <c r="C647" s="6"/>
      <c r="D647" s="39" t="e">
        <f>VLOOKUP(D634,'IURAN TANAH'!$A$2:$S$145,15,FALSE)</f>
        <v>#N/A</v>
      </c>
      <c r="F647" s="6" t="s">
        <v>519</v>
      </c>
      <c r="G647" s="6"/>
      <c r="H647" s="39" t="e">
        <f>VLOOKUP(H634,'IURAN TANAH'!$A$2:$S$145,15,FALSE)</f>
        <v>#N/A</v>
      </c>
      <c r="J647" s="6" t="s">
        <v>519</v>
      </c>
      <c r="K647" s="6"/>
      <c r="L647" s="39" t="e">
        <f>VLOOKUP(L634,'IURAN TANAH'!$A$2:$S$145,15,FALSE)</f>
        <v>#N/A</v>
      </c>
    </row>
    <row r="648" spans="2:12" x14ac:dyDescent="0.25">
      <c r="B648" s="5" t="s">
        <v>520</v>
      </c>
      <c r="C648" s="5"/>
      <c r="D648" s="40" t="e">
        <f>VLOOKUP(D634,'IURAN TANAH'!$A$2:$S$145,16,FALSE)</f>
        <v>#N/A</v>
      </c>
      <c r="F648" s="5" t="s">
        <v>520</v>
      </c>
      <c r="G648" s="5"/>
      <c r="H648" s="40" t="e">
        <f>VLOOKUP(H634,'IURAN TANAH'!$A$2:$S$145,16,FALSE)</f>
        <v>#N/A</v>
      </c>
      <c r="J648" s="5" t="s">
        <v>520</v>
      </c>
      <c r="K648" s="5"/>
      <c r="L648" s="40" t="e">
        <f>VLOOKUP(L634,'IURAN TANAH'!$A$2:$S$145,16,FALSE)</f>
        <v>#N/A</v>
      </c>
    </row>
    <row r="649" spans="2:12" ht="18.75" customHeight="1" x14ac:dyDescent="0.3">
      <c r="B649" s="7" t="s">
        <v>21</v>
      </c>
      <c r="C649" s="7"/>
      <c r="D649" s="41" t="e">
        <f>SUM(D639:D648)</f>
        <v>#N/A</v>
      </c>
      <c r="F649" s="7" t="s">
        <v>21</v>
      </c>
      <c r="G649" s="7"/>
      <c r="H649" s="41" t="e">
        <f>SUM(H639:H648)</f>
        <v>#N/A</v>
      </c>
      <c r="J649" s="7" t="s">
        <v>21</v>
      </c>
      <c r="K649" s="7"/>
      <c r="L649" s="41" t="e">
        <f>SUM(L639:L648)</f>
        <v>#N/A</v>
      </c>
    </row>
    <row r="650" spans="2:12" x14ac:dyDescent="0.25">
      <c r="B650" s="5"/>
      <c r="C650" s="5"/>
      <c r="D650" s="5"/>
      <c r="F650" s="5"/>
      <c r="G650" s="5"/>
      <c r="H650" s="5"/>
      <c r="J650" s="5"/>
      <c r="K650" s="5"/>
      <c r="L650" s="5"/>
    </row>
    <row r="652" spans="2:12" x14ac:dyDescent="0.25">
      <c r="B652" s="5" t="s">
        <v>2</v>
      </c>
      <c r="C652" s="5" t="s">
        <v>507</v>
      </c>
      <c r="D652" s="5">
        <v>109</v>
      </c>
      <c r="F652" s="5" t="s">
        <v>2</v>
      </c>
      <c r="G652" s="5" t="s">
        <v>507</v>
      </c>
      <c r="H652" s="5">
        <v>110</v>
      </c>
      <c r="J652" s="5" t="s">
        <v>2</v>
      </c>
      <c r="K652" s="5" t="s">
        <v>507</v>
      </c>
      <c r="L652" s="5">
        <v>111</v>
      </c>
    </row>
    <row r="653" spans="2:12" x14ac:dyDescent="0.25">
      <c r="B653" s="6" t="s">
        <v>508</v>
      </c>
      <c r="C653" s="6" t="s">
        <v>507</v>
      </c>
      <c r="D653" s="6" t="e">
        <f>VLOOKUP(D652,'IURAN TANAH'!$A$2:$S$145,2,FALSE)</f>
        <v>#N/A</v>
      </c>
      <c r="F653" s="6" t="s">
        <v>508</v>
      </c>
      <c r="G653" s="6" t="s">
        <v>507</v>
      </c>
      <c r="H653" s="6" t="e">
        <f>VLOOKUP(H652,'IURAN TANAH'!$A$2:$S$145,2,FALSE)</f>
        <v>#N/A</v>
      </c>
      <c r="J653" s="6" t="s">
        <v>508</v>
      </c>
      <c r="K653" s="6" t="s">
        <v>507</v>
      </c>
      <c r="L653" s="6" t="e">
        <f>VLOOKUP(L652,'IURAN TANAH'!$A$2:$S$145,2,FALSE)</f>
        <v>#N/A</v>
      </c>
    </row>
    <row r="654" spans="2:12" x14ac:dyDescent="0.25">
      <c r="B654" s="5" t="s">
        <v>509</v>
      </c>
      <c r="C654" s="5" t="s">
        <v>507</v>
      </c>
      <c r="D654" s="5" t="e">
        <f>VLOOKUP(D652,'IURAN TANAH'!$A$2:$S$145,3,FALSE) &amp;" " &amp;VLOOKUP(D652,'IURAN TANAH'!$A$2:$S$145,4,FALSE)</f>
        <v>#N/A</v>
      </c>
      <c r="F654" s="5" t="s">
        <v>509</v>
      </c>
      <c r="G654" s="5" t="s">
        <v>507</v>
      </c>
      <c r="H654" s="5" t="e">
        <f>VLOOKUP(H652,'IURAN TANAH'!$A$2:$S$145,3,FALSE) &amp;" " &amp;VLOOKUP(H652,'IURAN TANAH'!$A$2:$S$145,4,FALSE)</f>
        <v>#N/A</v>
      </c>
      <c r="J654" s="5" t="s">
        <v>509</v>
      </c>
      <c r="K654" s="5" t="s">
        <v>507</v>
      </c>
      <c r="L654" s="5" t="e">
        <f>VLOOKUP(L652,'IURAN TANAH'!$A$2:$S$145,3,FALSE) &amp;" " &amp;VLOOKUP(L652,'IURAN TANAH'!$A$2:$S$145,4,FALSE)</f>
        <v>#N/A</v>
      </c>
    </row>
    <row r="655" spans="2:12" x14ac:dyDescent="0.25">
      <c r="B655" s="6"/>
      <c r="C655" s="6"/>
      <c r="D655" s="6"/>
      <c r="F655" s="6"/>
      <c r="G655" s="6"/>
      <c r="H655" s="6"/>
      <c r="J655" s="6"/>
      <c r="K655" s="6"/>
      <c r="L655" s="6"/>
    </row>
    <row r="656" spans="2:12" x14ac:dyDescent="0.25">
      <c r="B656" s="5" t="s">
        <v>510</v>
      </c>
      <c r="C656" s="5"/>
      <c r="D656" s="5"/>
      <c r="F656" s="5" t="s">
        <v>510</v>
      </c>
      <c r="G656" s="5"/>
      <c r="H656" s="5"/>
      <c r="J656" s="5" t="s">
        <v>510</v>
      </c>
      <c r="K656" s="5"/>
      <c r="L656" s="5"/>
    </row>
    <row r="657" spans="2:12" x14ac:dyDescent="0.25">
      <c r="B657" s="6" t="s">
        <v>511</v>
      </c>
      <c r="C657" s="6"/>
      <c r="D657" s="39" t="e">
        <f>VLOOKUP(D652,'IURAN TANAH'!$A$2:$S$145,7,FALSE)</f>
        <v>#N/A</v>
      </c>
      <c r="F657" s="6" t="s">
        <v>511</v>
      </c>
      <c r="G657" s="6"/>
      <c r="H657" s="39" t="e">
        <f>VLOOKUP(H652,'IURAN TANAH'!$A$2:$S$145,7,FALSE)</f>
        <v>#N/A</v>
      </c>
      <c r="J657" s="6" t="s">
        <v>511</v>
      </c>
      <c r="K657" s="6"/>
      <c r="L657" s="39" t="e">
        <f>VLOOKUP(L652,'IURAN TANAH'!$A$2:$S$145,7,FALSE)</f>
        <v>#N/A</v>
      </c>
    </row>
    <row r="658" spans="2:12" x14ac:dyDescent="0.25">
      <c r="B658" s="5" t="s">
        <v>512</v>
      </c>
      <c r="C658" s="5"/>
      <c r="D658" s="40" t="e">
        <f>VLOOKUP(D652,'IURAN TANAH'!$A$2:$S$145,8,FALSE)</f>
        <v>#N/A</v>
      </c>
      <c r="F658" s="5" t="s">
        <v>512</v>
      </c>
      <c r="G658" s="5"/>
      <c r="H658" s="40" t="e">
        <f>VLOOKUP(H652,'IURAN TANAH'!$A$2:$S$145,8,FALSE)</f>
        <v>#N/A</v>
      </c>
      <c r="J658" s="5" t="s">
        <v>512</v>
      </c>
      <c r="K658" s="5"/>
      <c r="L658" s="40" t="e">
        <f>VLOOKUP(L652,'IURAN TANAH'!$A$2:$S$145,8,FALSE)</f>
        <v>#N/A</v>
      </c>
    </row>
    <row r="659" spans="2:12" x14ac:dyDescent="0.25">
      <c r="B659" s="6" t="s">
        <v>513</v>
      </c>
      <c r="C659" s="6"/>
      <c r="D659" s="39" t="e">
        <f>VLOOKUP(D652,'IURAN TANAH'!$A$2:$S$145,9,FALSE)</f>
        <v>#N/A</v>
      </c>
      <c r="F659" s="6" t="s">
        <v>513</v>
      </c>
      <c r="G659" s="6"/>
      <c r="H659" s="39" t="e">
        <f>VLOOKUP(H652,'IURAN TANAH'!$A$2:$S$145,9,FALSE)</f>
        <v>#N/A</v>
      </c>
      <c r="J659" s="6" t="s">
        <v>513</v>
      </c>
      <c r="K659" s="6"/>
      <c r="L659" s="39" t="e">
        <f>VLOOKUP(L652,'IURAN TANAH'!$A$2:$S$145,9,FALSE)</f>
        <v>#N/A</v>
      </c>
    </row>
    <row r="660" spans="2:12" x14ac:dyDescent="0.25">
      <c r="B660" s="5" t="s">
        <v>514</v>
      </c>
      <c r="C660" s="5"/>
      <c r="D660" s="40" t="e">
        <f>VLOOKUP(D652,'IURAN TANAH'!$A$2:$S$145,10,FALSE)</f>
        <v>#N/A</v>
      </c>
      <c r="F660" s="5" t="s">
        <v>514</v>
      </c>
      <c r="G660" s="5"/>
      <c r="H660" s="40" t="e">
        <f>VLOOKUP(H652,'IURAN TANAH'!$A$2:$S$145,10,FALSE)</f>
        <v>#N/A</v>
      </c>
      <c r="J660" s="5" t="s">
        <v>514</v>
      </c>
      <c r="K660" s="5"/>
      <c r="L660" s="40" t="e">
        <f>VLOOKUP(L652,'IURAN TANAH'!$A$2:$S$145,10,FALSE)</f>
        <v>#N/A</v>
      </c>
    </row>
    <row r="661" spans="2:12" x14ac:dyDescent="0.25">
      <c r="B661" s="6" t="s">
        <v>515</v>
      </c>
      <c r="C661" s="6"/>
      <c r="D661" s="39" t="e">
        <f>VLOOKUP(D652,'IURAN TANAH'!$A$2:$S$145,11,FALSE)</f>
        <v>#N/A</v>
      </c>
      <c r="F661" s="6" t="s">
        <v>515</v>
      </c>
      <c r="G661" s="6"/>
      <c r="H661" s="39" t="e">
        <f>VLOOKUP(H652,'IURAN TANAH'!$A$2:$S$145,11,FALSE)</f>
        <v>#N/A</v>
      </c>
      <c r="J661" s="6" t="s">
        <v>515</v>
      </c>
      <c r="K661" s="6"/>
      <c r="L661" s="39" t="e">
        <f>VLOOKUP(L652,'IURAN TANAH'!$A$2:$S$145,11,FALSE)</f>
        <v>#N/A</v>
      </c>
    </row>
    <row r="662" spans="2:12" x14ac:dyDescent="0.25">
      <c r="B662" s="5" t="s">
        <v>516</v>
      </c>
      <c r="C662" s="5"/>
      <c r="D662" s="40" t="e">
        <f>VLOOKUP(D652,'IURAN TANAH'!$A$2:$S$145,12,FALSE)</f>
        <v>#N/A</v>
      </c>
      <c r="F662" s="5" t="s">
        <v>516</v>
      </c>
      <c r="G662" s="5"/>
      <c r="H662" s="40" t="e">
        <f>VLOOKUP(H652,'IURAN TANAH'!$A$2:$S$145,12,FALSE)</f>
        <v>#N/A</v>
      </c>
      <c r="J662" s="5" t="s">
        <v>516</v>
      </c>
      <c r="K662" s="5"/>
      <c r="L662" s="40" t="e">
        <f>VLOOKUP(L652,'IURAN TANAH'!$A$2:$S$145,12,FALSE)</f>
        <v>#N/A</v>
      </c>
    </row>
    <row r="663" spans="2:12" x14ac:dyDescent="0.25">
      <c r="B663" s="6" t="s">
        <v>517</v>
      </c>
      <c r="C663" s="6"/>
      <c r="D663" s="39" t="e">
        <f>VLOOKUP(D652,'IURAN TANAH'!$A$2:$S$145,13,FALSE)</f>
        <v>#N/A</v>
      </c>
      <c r="F663" s="6" t="s">
        <v>517</v>
      </c>
      <c r="G663" s="6"/>
      <c r="H663" s="39" t="e">
        <f>VLOOKUP(H652,'IURAN TANAH'!$A$2:$S$145,13,FALSE)</f>
        <v>#N/A</v>
      </c>
      <c r="J663" s="6" t="s">
        <v>517</v>
      </c>
      <c r="K663" s="6"/>
      <c r="L663" s="39" t="e">
        <f>VLOOKUP(L652,'IURAN TANAH'!$A$2:$S$145,13,FALSE)</f>
        <v>#N/A</v>
      </c>
    </row>
    <row r="664" spans="2:12" x14ac:dyDescent="0.25">
      <c r="B664" s="5" t="s">
        <v>518</v>
      </c>
      <c r="C664" s="5"/>
      <c r="D664" s="40" t="e">
        <f>VLOOKUP(D652,'IURAN TANAH'!$A$2:$S$145,14,FALSE)</f>
        <v>#N/A</v>
      </c>
      <c r="F664" s="5" t="s">
        <v>518</v>
      </c>
      <c r="G664" s="5"/>
      <c r="H664" s="40" t="e">
        <f>VLOOKUP(H652,'IURAN TANAH'!$A$2:$S$145,14,FALSE)</f>
        <v>#N/A</v>
      </c>
      <c r="J664" s="5" t="s">
        <v>518</v>
      </c>
      <c r="K664" s="5"/>
      <c r="L664" s="40" t="e">
        <f>VLOOKUP(L652,'IURAN TANAH'!$A$2:$S$145,14,FALSE)</f>
        <v>#N/A</v>
      </c>
    </row>
    <row r="665" spans="2:12" x14ac:dyDescent="0.25">
      <c r="B665" s="6" t="s">
        <v>519</v>
      </c>
      <c r="C665" s="6"/>
      <c r="D665" s="39" t="e">
        <f>VLOOKUP(D652,'IURAN TANAH'!$A$2:$S$145,15,FALSE)</f>
        <v>#N/A</v>
      </c>
      <c r="F665" s="6" t="s">
        <v>519</v>
      </c>
      <c r="G665" s="6"/>
      <c r="H665" s="39" t="e">
        <f>VLOOKUP(H652,'IURAN TANAH'!$A$2:$S$145,15,FALSE)</f>
        <v>#N/A</v>
      </c>
      <c r="J665" s="6" t="s">
        <v>519</v>
      </c>
      <c r="K665" s="6"/>
      <c r="L665" s="39" t="e">
        <f>VLOOKUP(L652,'IURAN TANAH'!$A$2:$S$145,15,FALSE)</f>
        <v>#N/A</v>
      </c>
    </row>
    <row r="666" spans="2:12" x14ac:dyDescent="0.25">
      <c r="B666" s="5" t="s">
        <v>520</v>
      </c>
      <c r="C666" s="5"/>
      <c r="D666" s="40" t="e">
        <f>VLOOKUP(D652,'IURAN TANAH'!$A$2:$S$145,16,FALSE)</f>
        <v>#N/A</v>
      </c>
      <c r="F666" s="5" t="s">
        <v>520</v>
      </c>
      <c r="G666" s="5"/>
      <c r="H666" s="40" t="e">
        <f>VLOOKUP(H652,'IURAN TANAH'!$A$2:$S$145,16,FALSE)</f>
        <v>#N/A</v>
      </c>
      <c r="J666" s="5" t="s">
        <v>520</v>
      </c>
      <c r="K666" s="5"/>
      <c r="L666" s="40" t="e">
        <f>VLOOKUP(L652,'IURAN TANAH'!$A$2:$S$145,16,FALSE)</f>
        <v>#N/A</v>
      </c>
    </row>
    <row r="667" spans="2:12" ht="18.75" customHeight="1" x14ac:dyDescent="0.3">
      <c r="B667" s="7" t="s">
        <v>21</v>
      </c>
      <c r="C667" s="7"/>
      <c r="D667" s="41" t="e">
        <f>SUM(D657:D666)</f>
        <v>#N/A</v>
      </c>
      <c r="F667" s="7" t="s">
        <v>21</v>
      </c>
      <c r="G667" s="7"/>
      <c r="H667" s="41" t="e">
        <f>SUM(H657:H666)</f>
        <v>#N/A</v>
      </c>
      <c r="J667" s="7" t="s">
        <v>21</v>
      </c>
      <c r="K667" s="7"/>
      <c r="L667" s="41" t="e">
        <f>SUM(L657:L666)</f>
        <v>#N/A</v>
      </c>
    </row>
    <row r="668" spans="2:12" x14ac:dyDescent="0.25">
      <c r="B668" s="5"/>
      <c r="C668" s="5"/>
      <c r="D668" s="5"/>
      <c r="F668" s="5"/>
      <c r="G668" s="5"/>
      <c r="H668" s="5"/>
      <c r="J668" s="5"/>
      <c r="K668" s="5"/>
      <c r="L668" s="5"/>
    </row>
  </sheetData>
  <mergeCells count="1">
    <mergeCell ref="B1:L1"/>
  </mergeCells>
  <dataValidations count="110">
    <dataValidation type="list" allowBlank="1" showInputMessage="1" showErrorMessage="1" sqref="L3">
      <formula1>$A$5:$A$131</formula1>
    </dataValidation>
    <dataValidation type="list" allowBlank="1" showInputMessage="1" showErrorMessage="1" sqref="D3">
      <formula1>$A$5:$A$131</formula1>
    </dataValidation>
    <dataValidation type="list" allowBlank="1" showInputMessage="1" showErrorMessage="1" sqref="H39">
      <formula1>$A$5:$A$131</formula1>
    </dataValidation>
    <dataValidation type="list" allowBlank="1" showInputMessage="1" showErrorMessage="1" sqref="L39">
      <formula1>$A$5:$A$131</formula1>
    </dataValidation>
    <dataValidation type="list" allowBlank="1" showInputMessage="1" showErrorMessage="1" sqref="D39">
      <formula1>$A$5:$A$131</formula1>
    </dataValidation>
    <dataValidation type="list" allowBlank="1" showInputMessage="1" showErrorMessage="1" sqref="H21">
      <formula1>$A$5:$A$131</formula1>
    </dataValidation>
    <dataValidation type="list" allowBlank="1" showInputMessage="1" showErrorMessage="1" sqref="L21">
      <formula1>$A$5:$A$131</formula1>
    </dataValidation>
    <dataValidation type="list" allowBlank="1" showInputMessage="1" showErrorMessage="1" sqref="D21">
      <formula1>$A$5:$A$131</formula1>
    </dataValidation>
    <dataValidation type="list" allowBlank="1" showInputMessage="1" showErrorMessage="1" sqref="H57">
      <formula1>$A$5:$A$131</formula1>
    </dataValidation>
    <dataValidation type="list" allowBlank="1" showInputMessage="1" showErrorMessage="1" sqref="L57">
      <formula1>$A$5:$A$131</formula1>
    </dataValidation>
    <dataValidation type="list" allowBlank="1" showInputMessage="1" showErrorMessage="1" sqref="D57">
      <formula1>$A$5:$A$131</formula1>
    </dataValidation>
    <dataValidation type="list" allowBlank="1" showInputMessage="1" showErrorMessage="1" sqref="H75">
      <formula1>$A$5:$A$131</formula1>
    </dataValidation>
    <dataValidation type="list" allowBlank="1" showInputMessage="1" showErrorMessage="1" sqref="L75">
      <formula1>$A$5:$A$131</formula1>
    </dataValidation>
    <dataValidation type="list" allowBlank="1" showInputMessage="1" showErrorMessage="1" sqref="D75">
      <formula1>$A$5:$A$131</formula1>
    </dataValidation>
    <dataValidation type="list" allowBlank="1" showInputMessage="1" showErrorMessage="1" sqref="H94">
      <formula1>$A$5:$A$131</formula1>
    </dataValidation>
    <dataValidation type="list" allowBlank="1" showInputMessage="1" showErrorMessage="1" sqref="L94">
      <formula1>$A$5:$A$131</formula1>
    </dataValidation>
    <dataValidation type="list" allowBlank="1" showInputMessage="1" showErrorMessage="1" sqref="D94">
      <formula1>$A$5:$A$131</formula1>
    </dataValidation>
    <dataValidation type="list" allowBlank="1" showInputMessage="1" showErrorMessage="1" sqref="H112">
      <formula1>$A$5:$A$131</formula1>
    </dataValidation>
    <dataValidation type="list" allowBlank="1" showInputMessage="1" showErrorMessage="1" sqref="L112">
      <formula1>$A$5:$A$131</formula1>
    </dataValidation>
    <dataValidation type="list" allowBlank="1" showInputMessage="1" showErrorMessage="1" sqref="D112">
      <formula1>$A$5:$A$131</formula1>
    </dataValidation>
    <dataValidation type="list" allowBlank="1" showInputMessage="1" showErrorMessage="1" sqref="H130">
      <formula1>$A$5:$A$131</formula1>
    </dataValidation>
    <dataValidation type="list" allowBlank="1" showInputMessage="1" showErrorMessage="1" sqref="L130">
      <formula1>$A$5:$A$131</formula1>
    </dataValidation>
    <dataValidation type="list" allowBlank="1" showInputMessage="1" showErrorMessage="1" sqref="D130">
      <formula1>$A$5:$A$131</formula1>
    </dataValidation>
    <dataValidation type="list" allowBlank="1" showInputMessage="1" showErrorMessage="1" sqref="H148">
      <formula1>$A$5:$A$131</formula1>
    </dataValidation>
    <dataValidation type="list" allowBlank="1" showInputMessage="1" showErrorMessage="1" sqref="L148">
      <formula1>$A$5:$A$131</formula1>
    </dataValidation>
    <dataValidation type="list" allowBlank="1" showInputMessage="1" showErrorMessage="1" sqref="D148">
      <formula1>$A$5:$A$131</formula1>
    </dataValidation>
    <dataValidation type="list" allowBlank="1" showInputMessage="1" showErrorMessage="1" sqref="H166">
      <formula1>$A$5:$A$131</formula1>
    </dataValidation>
    <dataValidation type="list" allowBlank="1" showInputMessage="1" showErrorMessage="1" sqref="L166">
      <formula1>$A$5:$A$131</formula1>
    </dataValidation>
    <dataValidation type="list" allowBlank="1" showInputMessage="1" showErrorMessage="1" sqref="D166">
      <formula1>$A$5:$A$131</formula1>
    </dataValidation>
    <dataValidation type="list" allowBlank="1" showInputMessage="1" showErrorMessage="1" sqref="H184">
      <formula1>$A$5:$A$131</formula1>
    </dataValidation>
    <dataValidation type="list" allowBlank="1" showInputMessage="1" showErrorMessage="1" sqref="L184">
      <formula1>$A$5:$A$131</formula1>
    </dataValidation>
    <dataValidation type="list" allowBlank="1" showInputMessage="1" showErrorMessage="1" sqref="D184">
      <formula1>$A$5:$A$131</formula1>
    </dataValidation>
    <dataValidation type="list" allowBlank="1" showInputMessage="1" showErrorMessage="1" sqref="H202">
      <formula1>$A$5:$A$131</formula1>
    </dataValidation>
    <dataValidation type="list" allowBlank="1" showInputMessage="1" showErrorMessage="1" sqref="L202">
      <formula1>$A$5:$A$131</formula1>
    </dataValidation>
    <dataValidation type="list" allowBlank="1" showInputMessage="1" showErrorMessage="1" sqref="D202">
      <formula1>$A$5:$A$131</formula1>
    </dataValidation>
    <dataValidation type="list" allowBlank="1" showInputMessage="1" showErrorMessage="1" sqref="H220">
      <formula1>$A$5:$A$131</formula1>
    </dataValidation>
    <dataValidation type="list" allowBlank="1" showInputMessage="1" showErrorMessage="1" sqref="L220">
      <formula1>$A$5:$A$131</formula1>
    </dataValidation>
    <dataValidation type="list" allowBlank="1" showInputMessage="1" showErrorMessage="1" sqref="D220">
      <formula1>$A$5:$A$131</formula1>
    </dataValidation>
    <dataValidation type="list" allowBlank="1" showInputMessage="1" showErrorMessage="1" sqref="H238">
      <formula1>$A$5:$A$131</formula1>
    </dataValidation>
    <dataValidation type="list" allowBlank="1" showInputMessage="1" showErrorMessage="1" sqref="L238">
      <formula1>$A$5:$A$131</formula1>
    </dataValidation>
    <dataValidation type="list" allowBlank="1" showInputMessage="1" showErrorMessage="1" sqref="D238">
      <formula1>$A$5:$A$131</formula1>
    </dataValidation>
    <dataValidation type="list" allowBlank="1" showInputMessage="1" showErrorMessage="1" sqref="H256">
      <formula1>$A$5:$A$131</formula1>
    </dataValidation>
    <dataValidation type="list" allowBlank="1" showInputMessage="1" showErrorMessage="1" sqref="L256">
      <formula1>$A$5:$A$131</formula1>
    </dataValidation>
    <dataValidation type="list" allowBlank="1" showInputMessage="1" showErrorMessage="1" sqref="D256">
      <formula1>$A$5:$A$131</formula1>
    </dataValidation>
    <dataValidation type="list" allowBlank="1" showInputMessage="1" showErrorMessage="1" sqref="H274">
      <formula1>$A$5:$A$131</formula1>
    </dataValidation>
    <dataValidation type="list" allowBlank="1" showInputMessage="1" showErrorMessage="1" sqref="L274">
      <formula1>$A$5:$A$131</formula1>
    </dataValidation>
    <dataValidation type="list" allowBlank="1" showInputMessage="1" showErrorMessage="1" sqref="D274">
      <formula1>$A$5:$A$131</formula1>
    </dataValidation>
    <dataValidation type="list" allowBlank="1" showInputMessage="1" showErrorMessage="1" sqref="H292">
      <formula1>$A$5:$A$131</formula1>
    </dataValidation>
    <dataValidation type="list" allowBlank="1" showInputMessage="1" showErrorMessage="1" sqref="L292">
      <formula1>$A$5:$A$131</formula1>
    </dataValidation>
    <dataValidation type="list" allowBlank="1" showInputMessage="1" showErrorMessage="1" sqref="D292">
      <formula1>$A$5:$A$131</formula1>
    </dataValidation>
    <dataValidation type="list" allowBlank="1" showInputMessage="1" showErrorMessage="1" sqref="H310">
      <formula1>$A$5:$A$131</formula1>
    </dataValidation>
    <dataValidation type="list" allowBlank="1" showInputMessage="1" showErrorMessage="1" sqref="L310">
      <formula1>$A$5:$A$131</formula1>
    </dataValidation>
    <dataValidation type="list" allowBlank="1" showInputMessage="1" showErrorMessage="1" sqref="D310">
      <formula1>$A$5:$A$131</formula1>
    </dataValidation>
    <dataValidation type="list" allowBlank="1" showInputMessage="1" showErrorMessage="1" sqref="H328">
      <formula1>$A$5:$A$131</formula1>
    </dataValidation>
    <dataValidation type="list" allowBlank="1" showInputMessage="1" showErrorMessage="1" sqref="L328">
      <formula1>$A$5:$A$131</formula1>
    </dataValidation>
    <dataValidation type="list" allowBlank="1" showInputMessage="1" showErrorMessage="1" sqref="D328">
      <formula1>$A$5:$A$131</formula1>
    </dataValidation>
    <dataValidation type="list" allowBlank="1" showInputMessage="1" showErrorMessage="1" sqref="H346">
      <formula1>$A$5:$A$131</formula1>
    </dataValidation>
    <dataValidation type="list" allowBlank="1" showInputMessage="1" showErrorMessage="1" sqref="L346">
      <formula1>$A$5:$A$131</formula1>
    </dataValidation>
    <dataValidation type="list" allowBlank="1" showInputMessage="1" showErrorMessage="1" sqref="D346">
      <formula1>$A$5:$A$131</formula1>
    </dataValidation>
    <dataValidation type="list" allowBlank="1" showInputMessage="1" showErrorMessage="1" sqref="H364">
      <formula1>$A$5:$A$131</formula1>
    </dataValidation>
    <dataValidation type="list" allowBlank="1" showInputMessage="1" showErrorMessage="1" sqref="L364">
      <formula1>$A$5:$A$131</formula1>
    </dataValidation>
    <dataValidation type="list" allowBlank="1" showInputMessage="1" showErrorMessage="1" sqref="D364">
      <formula1>$A$5:$A$131</formula1>
    </dataValidation>
    <dataValidation type="list" allowBlank="1" showInputMessage="1" showErrorMessage="1" sqref="H382">
      <formula1>$A$5:$A$131</formula1>
    </dataValidation>
    <dataValidation type="list" allowBlank="1" showInputMessage="1" showErrorMessage="1" sqref="L382">
      <formula1>$A$5:$A$131</formula1>
    </dataValidation>
    <dataValidation type="list" allowBlank="1" showInputMessage="1" showErrorMessage="1" sqref="D382">
      <formula1>$A$5:$A$131</formula1>
    </dataValidation>
    <dataValidation type="list" allowBlank="1" showInputMessage="1" showErrorMessage="1" sqref="H400">
      <formula1>$A$5:$A$131</formula1>
    </dataValidation>
    <dataValidation type="list" allowBlank="1" showInputMessage="1" showErrorMessage="1" sqref="L400">
      <formula1>$A$5:$A$131</formula1>
    </dataValidation>
    <dataValidation type="list" allowBlank="1" showInputMessage="1" showErrorMessage="1" sqref="D400">
      <formula1>$A$5:$A$131</formula1>
    </dataValidation>
    <dataValidation type="list" allowBlank="1" showInputMessage="1" showErrorMessage="1" sqref="H418">
      <formula1>$A$5:$A$131</formula1>
    </dataValidation>
    <dataValidation type="list" allowBlank="1" showInputMessage="1" showErrorMessage="1" sqref="L418">
      <formula1>$A$5:$A$131</formula1>
    </dataValidation>
    <dataValidation type="list" allowBlank="1" showInputMessage="1" showErrorMessage="1" sqref="D418">
      <formula1>$A$5:$A$131</formula1>
    </dataValidation>
    <dataValidation type="list" allowBlank="1" showInputMessage="1" showErrorMessage="1" sqref="H436">
      <formula1>$A$5:$A$131</formula1>
    </dataValidation>
    <dataValidation type="list" allowBlank="1" showInputMessage="1" showErrorMessage="1" sqref="L436">
      <formula1>$A$5:$A$131</formula1>
    </dataValidation>
    <dataValidation type="list" allowBlank="1" showInputMessage="1" showErrorMessage="1" sqref="D436">
      <formula1>$A$5:$A$131</formula1>
    </dataValidation>
    <dataValidation type="list" allowBlank="1" showInputMessage="1" showErrorMessage="1" sqref="H454">
      <formula1>$A$5:$A$131</formula1>
    </dataValidation>
    <dataValidation type="list" allowBlank="1" showInputMessage="1" showErrorMessage="1" sqref="L454">
      <formula1>$A$5:$A$131</formula1>
    </dataValidation>
    <dataValidation type="list" allowBlank="1" showInputMessage="1" showErrorMessage="1" sqref="D454">
      <formula1>$A$5:$A$131</formula1>
    </dataValidation>
    <dataValidation type="list" allowBlank="1" showInputMessage="1" showErrorMessage="1" sqref="H472">
      <formula1>$A$5:$A$131</formula1>
    </dataValidation>
    <dataValidation type="list" allowBlank="1" showInputMessage="1" showErrorMessage="1" sqref="L472">
      <formula1>$A$5:$A$131</formula1>
    </dataValidation>
    <dataValidation type="list" allowBlank="1" showInputMessage="1" showErrorMessage="1" sqref="D472">
      <formula1>$A$5:$A$131</formula1>
    </dataValidation>
    <dataValidation type="list" allowBlank="1" showInputMessage="1" showErrorMessage="1" sqref="H490">
      <formula1>$A$5:$A$131</formula1>
    </dataValidation>
    <dataValidation type="list" allowBlank="1" showInputMessage="1" showErrorMessage="1" sqref="L490">
      <formula1>$A$5:$A$131</formula1>
    </dataValidation>
    <dataValidation type="list" allowBlank="1" showInputMessage="1" showErrorMessage="1" sqref="D490">
      <formula1>$A$5:$A$131</formula1>
    </dataValidation>
    <dataValidation type="list" allowBlank="1" showInputMessage="1" showErrorMessage="1" sqref="H508">
      <formula1>$A$5:$A$131</formula1>
    </dataValidation>
    <dataValidation type="list" allowBlank="1" showInputMessage="1" showErrorMessage="1" sqref="L508">
      <formula1>$A$5:$A$131</formula1>
    </dataValidation>
    <dataValidation type="list" allowBlank="1" showInputMessage="1" showErrorMessage="1" sqref="D508">
      <formula1>$A$5:$A$131</formula1>
    </dataValidation>
    <dataValidation type="list" allowBlank="1" showInputMessage="1" showErrorMessage="1" sqref="H526">
      <formula1>$A$5:$A$131</formula1>
    </dataValidation>
    <dataValidation type="list" allowBlank="1" showInputMessage="1" showErrorMessage="1" sqref="L526">
      <formula1>$A$5:$A$131</formula1>
    </dataValidation>
    <dataValidation type="list" allowBlank="1" showInputMessage="1" showErrorMessage="1" sqref="D526">
      <formula1>$A$5:$A$131</formula1>
    </dataValidation>
    <dataValidation type="list" allowBlank="1" showInputMessage="1" showErrorMessage="1" sqref="H544">
      <formula1>$A$5:$A$131</formula1>
    </dataValidation>
    <dataValidation type="list" allowBlank="1" showInputMessage="1" showErrorMessage="1" sqref="L544">
      <formula1>$A$5:$A$131</formula1>
    </dataValidation>
    <dataValidation type="list" allowBlank="1" showInputMessage="1" showErrorMessage="1" sqref="D544">
      <formula1>$A$5:$A$131</formula1>
    </dataValidation>
    <dataValidation type="list" allowBlank="1" showInputMessage="1" showErrorMessage="1" sqref="H562">
      <formula1>$A$5:$A$131</formula1>
    </dataValidation>
    <dataValidation type="list" allowBlank="1" showInputMessage="1" showErrorMessage="1" sqref="L562">
      <formula1>$A$5:$A$131</formula1>
    </dataValidation>
    <dataValidation type="list" allowBlank="1" showInputMessage="1" showErrorMessage="1" sqref="D562">
      <formula1>$A$5:$A$131</formula1>
    </dataValidation>
    <dataValidation type="list" allowBlank="1" showInputMessage="1" showErrorMessage="1" sqref="H580">
      <formula1>$A$5:$A$131</formula1>
    </dataValidation>
    <dataValidation type="list" allowBlank="1" showInputMessage="1" showErrorMessage="1" sqref="L580">
      <formula1>$A$5:$A$131</formula1>
    </dataValidation>
    <dataValidation type="list" allowBlank="1" showInputMessage="1" showErrorMessage="1" sqref="D580">
      <formula1>$A$5:$A$131</formula1>
    </dataValidation>
    <dataValidation type="list" allowBlank="1" showInputMessage="1" showErrorMessage="1" sqref="H598">
      <formula1>$A$5:$A$131</formula1>
    </dataValidation>
    <dataValidation type="list" allowBlank="1" showInputMessage="1" showErrorMessage="1" sqref="L598">
      <formula1>$A$5:$A$131</formula1>
    </dataValidation>
    <dataValidation type="list" allowBlank="1" showInputMessage="1" showErrorMessage="1" sqref="D598">
      <formula1>$A$5:$A$131</formula1>
    </dataValidation>
    <dataValidation type="list" allowBlank="1" showInputMessage="1" showErrorMessage="1" sqref="H616">
      <formula1>$A$5:$A$131</formula1>
    </dataValidation>
    <dataValidation type="list" allowBlank="1" showInputMessage="1" showErrorMessage="1" sqref="L616">
      <formula1>$A$5:$A$131</formula1>
    </dataValidation>
    <dataValidation type="list" allowBlank="1" showInputMessage="1" showErrorMessage="1" sqref="D616">
      <formula1>$A$5:$A$131</formula1>
    </dataValidation>
    <dataValidation type="list" allowBlank="1" showInputMessage="1" showErrorMessage="1" sqref="H634">
      <formula1>$A$5:$A$131</formula1>
    </dataValidation>
    <dataValidation type="list" allowBlank="1" showInputMessage="1" showErrorMessage="1" sqref="L634">
      <formula1>$A$5:$A$131</formula1>
    </dataValidation>
    <dataValidation type="list" allowBlank="1" showInputMessage="1" showErrorMessage="1" sqref="D634">
      <formula1>$A$5:$A$131</formula1>
    </dataValidation>
    <dataValidation type="list" allowBlank="1" showInputMessage="1" showErrorMessage="1" sqref="H652">
      <formula1>$A$5:$A$131</formula1>
    </dataValidation>
    <dataValidation type="list" allowBlank="1" showInputMessage="1" showErrorMessage="1" sqref="L652">
      <formula1>$A$5:$A$131</formula1>
    </dataValidation>
    <dataValidation type="list" allowBlank="1" showInputMessage="1" showErrorMessage="1" sqref="D652">
      <formula1>$A$5:$A$131</formula1>
    </dataValidation>
  </dataValidations>
  <pageMargins left="0.70866141732283472" right="0.70866141732283472" top="0.74803149606299213" bottom="0.74803149606299213" header="0.31496062992125978" footer="0.31496062992125978"/>
  <pageSetup paperSize="9" scale="53" orientation="portrait" r:id="rId1"/>
  <rowBreaks count="7" manualBreakCount="7">
    <brk id="74" max="16383" man="1"/>
    <brk id="164" max="16383" man="1"/>
    <brk id="254" max="16383" man="1"/>
    <brk id="344" max="16383" man="1"/>
    <brk id="434" max="16383" man="1"/>
    <brk id="524" max="16383" man="1"/>
    <brk id="61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184"/>
  <sheetViews>
    <sheetView view="pageBreakPreview" zoomScale="70" zoomScaleNormal="85" zoomScaleSheetLayoutView="70" workbookViewId="0">
      <pane ySplit="4" topLeftCell="A132" activePane="bottomLeft" state="frozen"/>
      <selection pane="bottomLeft" activeCell="G129" sqref="G129"/>
    </sheetView>
  </sheetViews>
  <sheetFormatPr defaultRowHeight="15" x14ac:dyDescent="0.25"/>
  <cols>
    <col min="2" max="2" width="19.42578125" style="20" customWidth="1"/>
    <col min="5" max="5" width="13.140625" style="20" bestFit="1" customWidth="1"/>
    <col min="6" max="6" width="10.7109375" style="3" customWidth="1"/>
    <col min="7" max="7" width="10.7109375" style="22" customWidth="1"/>
    <col min="8" max="9" width="10.7109375" style="20" customWidth="1"/>
    <col min="19" max="19" width="10.5703125" style="22" bestFit="1" customWidth="1"/>
  </cols>
  <sheetData>
    <row r="1" spans="1:19" x14ac:dyDescent="0.25">
      <c r="A1" t="s">
        <v>521</v>
      </c>
    </row>
    <row r="2" spans="1:19" x14ac:dyDescent="0.25">
      <c r="A2" t="s">
        <v>0</v>
      </c>
      <c r="C2" s="1" t="s">
        <v>1</v>
      </c>
      <c r="D2" s="2"/>
      <c r="E2" s="23"/>
      <c r="F2" s="42">
        <f>SUM(F5:F179)</f>
        <v>2690000</v>
      </c>
      <c r="G2" s="42">
        <f>SUM(G5:G179)</f>
        <v>860000</v>
      </c>
      <c r="H2" s="42">
        <f>SUM(H5:H179)</f>
        <v>890000</v>
      </c>
      <c r="I2" s="42">
        <f>SUM(I5:I179)</f>
        <v>940000</v>
      </c>
    </row>
    <row r="3" spans="1:19" ht="1.5" customHeight="1" x14ac:dyDescent="0.25"/>
    <row r="4" spans="1:19" ht="29.25" customHeight="1" x14ac:dyDescent="0.2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4" t="s">
        <v>21</v>
      </c>
      <c r="G4" s="15" t="s">
        <v>522</v>
      </c>
      <c r="H4" s="15" t="s">
        <v>523</v>
      </c>
      <c r="I4" s="43" t="s">
        <v>524</v>
      </c>
    </row>
    <row r="5" spans="1:19" x14ac:dyDescent="0.25">
      <c r="A5" s="16">
        <v>1</v>
      </c>
      <c r="B5" s="16" t="s">
        <v>23</v>
      </c>
      <c r="C5" s="16" t="s">
        <v>24</v>
      </c>
      <c r="D5" s="16" t="s">
        <v>25</v>
      </c>
      <c r="E5" s="17" t="s">
        <v>26</v>
      </c>
      <c r="F5" s="27">
        <f t="shared" ref="F5:F36" si="0">SUM(G5:I5)</f>
        <v>30000</v>
      </c>
      <c r="G5" s="28">
        <v>10000</v>
      </c>
      <c r="H5" s="28">
        <v>10000</v>
      </c>
      <c r="I5" s="28">
        <v>10000</v>
      </c>
      <c r="J5" s="22"/>
      <c r="K5" s="22"/>
      <c r="L5" s="22"/>
      <c r="M5" s="22"/>
      <c r="N5" s="22"/>
      <c r="R5" t="s">
        <v>525</v>
      </c>
      <c r="S5" s="30">
        <v>2550000</v>
      </c>
    </row>
    <row r="6" spans="1:19" x14ac:dyDescent="0.25">
      <c r="A6" s="16">
        <v>2</v>
      </c>
      <c r="B6" s="16" t="s">
        <v>28</v>
      </c>
      <c r="C6" s="16" t="s">
        <v>24</v>
      </c>
      <c r="D6" s="16" t="s">
        <v>29</v>
      </c>
      <c r="E6" s="16"/>
      <c r="F6" s="27">
        <f t="shared" si="0"/>
        <v>30000</v>
      </c>
      <c r="G6" s="28">
        <v>10000</v>
      </c>
      <c r="H6" s="28">
        <v>10000</v>
      </c>
      <c r="I6" s="28">
        <v>10000</v>
      </c>
      <c r="J6" s="22"/>
      <c r="K6" s="22"/>
      <c r="L6" s="22"/>
      <c r="M6" s="22"/>
      <c r="N6" s="22"/>
      <c r="R6" t="s">
        <v>526</v>
      </c>
      <c r="S6" s="22">
        <f>F2</f>
        <v>2690000</v>
      </c>
    </row>
    <row r="7" spans="1:19" x14ac:dyDescent="0.25">
      <c r="A7" s="16">
        <v>3</v>
      </c>
      <c r="B7" s="16" t="s">
        <v>31</v>
      </c>
      <c r="C7" s="16" t="s">
        <v>24</v>
      </c>
      <c r="D7" s="16" t="s">
        <v>32</v>
      </c>
      <c r="E7" s="17" t="s">
        <v>33</v>
      </c>
      <c r="F7" s="27">
        <f t="shared" si="0"/>
        <v>0</v>
      </c>
      <c r="G7" s="28"/>
      <c r="H7" s="28"/>
      <c r="I7" s="28"/>
      <c r="J7" s="22"/>
      <c r="K7" s="22"/>
      <c r="L7" s="22"/>
      <c r="M7" s="22"/>
      <c r="N7" s="22"/>
      <c r="S7" s="22">
        <f>S6-S5</f>
        <v>140000</v>
      </c>
    </row>
    <row r="8" spans="1:19" x14ac:dyDescent="0.25">
      <c r="A8" s="16">
        <v>4</v>
      </c>
      <c r="B8" s="16" t="s">
        <v>81</v>
      </c>
      <c r="C8" s="16" t="s">
        <v>24</v>
      </c>
      <c r="D8" s="16" t="s">
        <v>129</v>
      </c>
      <c r="E8" s="16"/>
      <c r="F8" s="27">
        <f t="shared" si="0"/>
        <v>0</v>
      </c>
      <c r="G8" s="28"/>
      <c r="H8" s="28"/>
      <c r="I8" s="28"/>
      <c r="J8" s="22"/>
      <c r="K8" s="22"/>
      <c r="L8" s="22"/>
      <c r="M8" s="22"/>
      <c r="N8" s="22"/>
    </row>
    <row r="9" spans="1:19" x14ac:dyDescent="0.25">
      <c r="A9" s="16">
        <v>5</v>
      </c>
      <c r="B9" s="16" t="s">
        <v>35</v>
      </c>
      <c r="C9" s="16" t="s">
        <v>24</v>
      </c>
      <c r="D9" s="16" t="s">
        <v>36</v>
      </c>
      <c r="E9" s="16"/>
      <c r="F9" s="27">
        <f t="shared" si="0"/>
        <v>0</v>
      </c>
      <c r="G9" s="28"/>
      <c r="H9" s="28"/>
      <c r="I9" s="28"/>
      <c r="J9" s="22"/>
      <c r="K9" s="22"/>
      <c r="L9" s="22"/>
      <c r="M9" s="22"/>
      <c r="N9" s="22"/>
    </row>
    <row r="10" spans="1:19" x14ac:dyDescent="0.25">
      <c r="A10" s="16">
        <v>6</v>
      </c>
      <c r="B10" s="16" t="s">
        <v>42</v>
      </c>
      <c r="C10" s="16" t="s">
        <v>24</v>
      </c>
      <c r="D10" s="16" t="s">
        <v>43</v>
      </c>
      <c r="E10" s="17" t="s">
        <v>44</v>
      </c>
      <c r="F10" s="27">
        <f t="shared" si="0"/>
        <v>30000</v>
      </c>
      <c r="G10" s="28">
        <v>10000</v>
      </c>
      <c r="H10" s="28">
        <v>10000</v>
      </c>
      <c r="I10" s="28">
        <v>10000</v>
      </c>
      <c r="J10" s="22"/>
      <c r="K10" s="22"/>
      <c r="L10" s="22"/>
      <c r="M10" s="22"/>
      <c r="N10" s="22"/>
    </row>
    <row r="11" spans="1:19" x14ac:dyDescent="0.25">
      <c r="A11" s="16">
        <v>7</v>
      </c>
      <c r="B11" s="16" t="s">
        <v>46</v>
      </c>
      <c r="C11" s="16" t="s">
        <v>24</v>
      </c>
      <c r="D11" s="16" t="s">
        <v>47</v>
      </c>
      <c r="E11" s="17" t="s">
        <v>48</v>
      </c>
      <c r="F11" s="27">
        <f t="shared" si="0"/>
        <v>0</v>
      </c>
      <c r="G11" s="28"/>
      <c r="H11" s="28"/>
      <c r="I11" s="28"/>
      <c r="J11" s="22"/>
      <c r="K11" s="22"/>
      <c r="L11" s="22"/>
      <c r="M11" s="22"/>
      <c r="N11" s="22"/>
    </row>
    <row r="12" spans="1:19" x14ac:dyDescent="0.25">
      <c r="A12" s="16">
        <v>8</v>
      </c>
      <c r="B12" s="16" t="s">
        <v>50</v>
      </c>
      <c r="C12" s="16" t="s">
        <v>24</v>
      </c>
      <c r="D12" s="16" t="s">
        <v>51</v>
      </c>
      <c r="E12" s="17" t="s">
        <v>52</v>
      </c>
      <c r="F12" s="27">
        <f t="shared" si="0"/>
        <v>0</v>
      </c>
      <c r="G12" s="28"/>
      <c r="H12" s="28"/>
      <c r="I12" s="28"/>
      <c r="J12" s="22"/>
      <c r="K12" s="22"/>
      <c r="L12" s="22"/>
      <c r="M12" s="22"/>
      <c r="N12" s="22"/>
    </row>
    <row r="13" spans="1:19" x14ac:dyDescent="0.25">
      <c r="A13" s="16">
        <v>9</v>
      </c>
      <c r="B13" s="16" t="s">
        <v>54</v>
      </c>
      <c r="C13" s="16" t="s">
        <v>24</v>
      </c>
      <c r="D13" s="16" t="s">
        <v>55</v>
      </c>
      <c r="E13" s="16"/>
      <c r="F13" s="27">
        <f t="shared" si="0"/>
        <v>30000</v>
      </c>
      <c r="G13" s="28">
        <v>10000</v>
      </c>
      <c r="H13" s="28">
        <v>10000</v>
      </c>
      <c r="I13" s="28">
        <v>10000</v>
      </c>
      <c r="J13" s="22"/>
      <c r="K13" s="22"/>
      <c r="L13" s="22"/>
      <c r="M13" s="22"/>
      <c r="N13" s="22"/>
    </row>
    <row r="14" spans="1:19" x14ac:dyDescent="0.25">
      <c r="A14" s="16">
        <v>10</v>
      </c>
      <c r="B14" s="16" t="s">
        <v>57</v>
      </c>
      <c r="C14" s="16" t="s">
        <v>24</v>
      </c>
      <c r="D14" s="16" t="s">
        <v>58</v>
      </c>
      <c r="E14" s="16"/>
      <c r="F14" s="27">
        <f t="shared" si="0"/>
        <v>30000</v>
      </c>
      <c r="G14" s="28">
        <v>10000</v>
      </c>
      <c r="H14" s="28">
        <v>10000</v>
      </c>
      <c r="I14" s="28">
        <v>10000</v>
      </c>
      <c r="J14" s="22"/>
      <c r="K14" s="22"/>
      <c r="L14" s="22"/>
      <c r="M14" s="22"/>
      <c r="N14" s="22"/>
    </row>
    <row r="15" spans="1:19" x14ac:dyDescent="0.25">
      <c r="A15" s="16">
        <v>11</v>
      </c>
      <c r="B15" s="16" t="s">
        <v>324</v>
      </c>
      <c r="C15" s="16" t="s">
        <v>24</v>
      </c>
      <c r="D15" s="16" t="s">
        <v>527</v>
      </c>
      <c r="E15" s="17" t="s">
        <v>326</v>
      </c>
      <c r="F15" s="27">
        <f t="shared" si="0"/>
        <v>20000</v>
      </c>
      <c r="G15" s="28">
        <v>10000</v>
      </c>
      <c r="H15" s="28">
        <v>10000</v>
      </c>
      <c r="I15" s="28"/>
      <c r="J15" s="22"/>
      <c r="K15" s="22"/>
      <c r="L15" s="22"/>
      <c r="M15" s="22"/>
      <c r="N15" s="22"/>
    </row>
    <row r="16" spans="1:19" x14ac:dyDescent="0.25">
      <c r="A16" s="16">
        <v>12</v>
      </c>
      <c r="B16" s="16" t="s">
        <v>60</v>
      </c>
      <c r="C16" s="16" t="s">
        <v>24</v>
      </c>
      <c r="D16" s="16" t="s">
        <v>61</v>
      </c>
      <c r="E16" s="17" t="s">
        <v>62</v>
      </c>
      <c r="F16" s="27">
        <f t="shared" si="0"/>
        <v>20000</v>
      </c>
      <c r="G16" s="28"/>
      <c r="H16" s="28">
        <v>10000</v>
      </c>
      <c r="I16" s="28">
        <v>10000</v>
      </c>
      <c r="J16" s="22"/>
      <c r="K16" s="22"/>
      <c r="L16" s="22"/>
      <c r="M16" s="22"/>
      <c r="N16" s="22"/>
    </row>
    <row r="17" spans="1:14" x14ac:dyDescent="0.25">
      <c r="A17" s="16">
        <v>13</v>
      </c>
      <c r="B17" s="16" t="s">
        <v>64</v>
      </c>
      <c r="C17" s="16" t="s">
        <v>24</v>
      </c>
      <c r="D17" s="16" t="s">
        <v>65</v>
      </c>
      <c r="E17" s="17" t="s">
        <v>66</v>
      </c>
      <c r="F17" s="27">
        <f t="shared" si="0"/>
        <v>20000</v>
      </c>
      <c r="G17" s="28"/>
      <c r="H17" s="28">
        <v>10000</v>
      </c>
      <c r="I17" s="28">
        <v>10000</v>
      </c>
      <c r="J17" s="22"/>
      <c r="K17" s="22"/>
      <c r="L17" s="22"/>
      <c r="M17" s="22"/>
      <c r="N17" s="22"/>
    </row>
    <row r="18" spans="1:14" x14ac:dyDescent="0.25">
      <c r="A18" s="16">
        <v>14</v>
      </c>
      <c r="B18" s="16" t="s">
        <v>68</v>
      </c>
      <c r="C18" s="16" t="s">
        <v>24</v>
      </c>
      <c r="D18" s="16" t="s">
        <v>69</v>
      </c>
      <c r="E18" s="17" t="s">
        <v>70</v>
      </c>
      <c r="F18" s="27">
        <f t="shared" si="0"/>
        <v>30000</v>
      </c>
      <c r="G18" s="28">
        <v>10000</v>
      </c>
      <c r="H18" s="28">
        <v>10000</v>
      </c>
      <c r="I18" s="28">
        <v>10000</v>
      </c>
      <c r="J18" s="22"/>
      <c r="K18" s="22"/>
      <c r="L18" s="22"/>
      <c r="M18" s="22"/>
      <c r="N18" s="22"/>
    </row>
    <row r="19" spans="1:14" x14ac:dyDescent="0.25">
      <c r="A19" s="16">
        <v>15</v>
      </c>
      <c r="B19" s="16" t="s">
        <v>38</v>
      </c>
      <c r="C19" s="16" t="s">
        <v>24</v>
      </c>
      <c r="D19" s="16" t="s">
        <v>39</v>
      </c>
      <c r="E19" s="17" t="s">
        <v>40</v>
      </c>
      <c r="F19" s="27">
        <f t="shared" si="0"/>
        <v>30000</v>
      </c>
      <c r="G19" s="28">
        <v>10000</v>
      </c>
      <c r="H19" s="28">
        <v>10000</v>
      </c>
      <c r="I19" s="28">
        <v>10000</v>
      </c>
      <c r="J19" s="22"/>
      <c r="K19" s="22"/>
      <c r="L19" s="22"/>
      <c r="M19" s="22"/>
      <c r="N19" s="22"/>
    </row>
    <row r="20" spans="1:14" x14ac:dyDescent="0.25">
      <c r="A20" s="16">
        <v>16</v>
      </c>
      <c r="B20" s="16" t="s">
        <v>72</v>
      </c>
      <c r="C20" s="16" t="s">
        <v>24</v>
      </c>
      <c r="D20" s="16" t="s">
        <v>73</v>
      </c>
      <c r="E20" s="16"/>
      <c r="F20" s="27">
        <f t="shared" si="0"/>
        <v>30000</v>
      </c>
      <c r="G20" s="28">
        <v>10000</v>
      </c>
      <c r="H20" s="28">
        <v>10000</v>
      </c>
      <c r="I20" s="28">
        <v>10000</v>
      </c>
      <c r="J20" s="22"/>
      <c r="K20" s="22"/>
      <c r="L20" s="22"/>
      <c r="M20" s="22"/>
      <c r="N20" s="22"/>
    </row>
    <row r="21" spans="1:14" x14ac:dyDescent="0.25">
      <c r="A21" s="16">
        <v>17</v>
      </c>
      <c r="B21" s="16" t="s">
        <v>75</v>
      </c>
      <c r="C21" s="16" t="s">
        <v>24</v>
      </c>
      <c r="D21" s="16" t="s">
        <v>76</v>
      </c>
      <c r="E21" s="16"/>
      <c r="F21" s="27">
        <f t="shared" si="0"/>
        <v>30000</v>
      </c>
      <c r="G21" s="28">
        <v>10000</v>
      </c>
      <c r="H21" s="28">
        <v>10000</v>
      </c>
      <c r="I21" s="28">
        <v>10000</v>
      </c>
      <c r="J21" s="22"/>
      <c r="K21" s="22"/>
      <c r="L21" s="22"/>
      <c r="M21" s="22"/>
      <c r="N21" s="22"/>
    </row>
    <row r="22" spans="1:14" x14ac:dyDescent="0.25">
      <c r="A22" s="16">
        <v>18</v>
      </c>
      <c r="B22" s="16" t="s">
        <v>78</v>
      </c>
      <c r="C22" s="16" t="s">
        <v>24</v>
      </c>
      <c r="D22" s="16" t="s">
        <v>79</v>
      </c>
      <c r="E22" s="16"/>
      <c r="F22" s="27">
        <f t="shared" si="0"/>
        <v>0</v>
      </c>
      <c r="G22" s="28"/>
      <c r="H22" s="28"/>
      <c r="I22" s="28"/>
      <c r="J22" s="22"/>
      <c r="K22" s="22"/>
      <c r="L22" s="22"/>
      <c r="M22" s="22"/>
      <c r="N22" s="22"/>
    </row>
    <row r="23" spans="1:14" x14ac:dyDescent="0.25">
      <c r="A23" s="16">
        <v>19</v>
      </c>
      <c r="B23" s="16" t="s">
        <v>84</v>
      </c>
      <c r="C23" s="16" t="s">
        <v>24</v>
      </c>
      <c r="D23" s="16" t="s">
        <v>85</v>
      </c>
      <c r="E23" s="17" t="s">
        <v>86</v>
      </c>
      <c r="F23" s="27">
        <f t="shared" si="0"/>
        <v>30000</v>
      </c>
      <c r="G23" s="28">
        <v>10000</v>
      </c>
      <c r="H23" s="28">
        <v>10000</v>
      </c>
      <c r="I23" s="28">
        <v>10000</v>
      </c>
      <c r="J23" s="22"/>
      <c r="K23" s="22"/>
      <c r="L23" s="22"/>
      <c r="M23" s="22"/>
      <c r="N23" s="22"/>
    </row>
    <row r="24" spans="1:14" x14ac:dyDescent="0.25">
      <c r="A24" s="16">
        <v>20</v>
      </c>
      <c r="B24" s="16" t="s">
        <v>88</v>
      </c>
      <c r="C24" s="16" t="s">
        <v>24</v>
      </c>
      <c r="D24" s="16" t="s">
        <v>89</v>
      </c>
      <c r="E24" s="17" t="s">
        <v>90</v>
      </c>
      <c r="F24" s="27">
        <f t="shared" si="0"/>
        <v>0</v>
      </c>
      <c r="G24" s="28"/>
      <c r="H24" s="28"/>
      <c r="I24" s="28"/>
      <c r="J24" s="22"/>
      <c r="K24" s="22"/>
      <c r="L24" s="22"/>
      <c r="M24" s="22"/>
      <c r="N24" s="22"/>
    </row>
    <row r="25" spans="1:14" x14ac:dyDescent="0.25">
      <c r="A25" s="16">
        <v>21</v>
      </c>
      <c r="B25" s="16" t="s">
        <v>92</v>
      </c>
      <c r="C25" s="16" t="s">
        <v>24</v>
      </c>
      <c r="D25" s="16" t="s">
        <v>93</v>
      </c>
      <c r="E25" s="17" t="s">
        <v>94</v>
      </c>
      <c r="F25" s="27">
        <f t="shared" si="0"/>
        <v>20000</v>
      </c>
      <c r="G25" s="28">
        <v>10000</v>
      </c>
      <c r="H25" s="28">
        <v>10000</v>
      </c>
      <c r="I25" s="28"/>
      <c r="J25" s="22"/>
      <c r="K25" s="22"/>
      <c r="L25" s="22"/>
      <c r="M25" s="22"/>
      <c r="N25" s="22"/>
    </row>
    <row r="26" spans="1:14" x14ac:dyDescent="0.25">
      <c r="A26" s="16">
        <v>22</v>
      </c>
      <c r="B26" s="16" t="s">
        <v>96</v>
      </c>
      <c r="C26" s="16" t="s">
        <v>24</v>
      </c>
      <c r="D26" s="16" t="s">
        <v>97</v>
      </c>
      <c r="E26" s="17" t="s">
        <v>98</v>
      </c>
      <c r="F26" s="27">
        <f t="shared" si="0"/>
        <v>30000</v>
      </c>
      <c r="G26" s="28">
        <v>10000</v>
      </c>
      <c r="H26" s="28">
        <v>10000</v>
      </c>
      <c r="I26" s="28">
        <v>10000</v>
      </c>
      <c r="J26" s="22"/>
      <c r="K26" s="22"/>
      <c r="L26" s="22"/>
      <c r="M26" s="22"/>
      <c r="N26" s="22"/>
    </row>
    <row r="27" spans="1:14" x14ac:dyDescent="0.25">
      <c r="A27" s="16">
        <v>23</v>
      </c>
      <c r="B27" s="16" t="s">
        <v>100</v>
      </c>
      <c r="C27" s="16" t="s">
        <v>24</v>
      </c>
      <c r="D27" s="16" t="s">
        <v>101</v>
      </c>
      <c r="E27" s="17" t="s">
        <v>102</v>
      </c>
      <c r="F27" s="27">
        <f t="shared" si="0"/>
        <v>20000</v>
      </c>
      <c r="G27" s="28">
        <v>10000</v>
      </c>
      <c r="H27" s="28">
        <v>10000</v>
      </c>
      <c r="I27" s="28"/>
      <c r="J27" s="22"/>
      <c r="K27" s="22"/>
      <c r="L27" s="22"/>
      <c r="M27" s="22"/>
      <c r="N27" s="22"/>
    </row>
    <row r="28" spans="1:14" x14ac:dyDescent="0.25">
      <c r="A28" s="16">
        <v>24</v>
      </c>
      <c r="B28" s="16" t="s">
        <v>104</v>
      </c>
      <c r="C28" s="16" t="s">
        <v>24</v>
      </c>
      <c r="D28" s="16" t="s">
        <v>105</v>
      </c>
      <c r="E28" s="17" t="s">
        <v>106</v>
      </c>
      <c r="F28" s="27">
        <f t="shared" si="0"/>
        <v>30000</v>
      </c>
      <c r="G28" s="28">
        <v>10000</v>
      </c>
      <c r="H28" s="28">
        <v>10000</v>
      </c>
      <c r="I28" s="28">
        <v>10000</v>
      </c>
      <c r="J28" s="22"/>
      <c r="K28" s="22"/>
      <c r="L28" s="22"/>
      <c r="M28" s="22"/>
      <c r="N28" s="22"/>
    </row>
    <row r="29" spans="1:14" x14ac:dyDescent="0.25">
      <c r="A29" s="16">
        <v>25</v>
      </c>
      <c r="B29" s="16" t="s">
        <v>108</v>
      </c>
      <c r="C29" s="16" t="s">
        <v>24</v>
      </c>
      <c r="D29" s="16" t="s">
        <v>109</v>
      </c>
      <c r="E29" s="17" t="s">
        <v>110</v>
      </c>
      <c r="F29" s="27">
        <f t="shared" si="0"/>
        <v>30000</v>
      </c>
      <c r="G29" s="28">
        <v>10000</v>
      </c>
      <c r="H29" s="28">
        <v>10000</v>
      </c>
      <c r="I29" s="28">
        <v>10000</v>
      </c>
      <c r="J29" s="22"/>
      <c r="K29" s="22"/>
      <c r="L29" s="22"/>
      <c r="M29" s="22"/>
      <c r="N29" s="22"/>
    </row>
    <row r="30" spans="1:14" x14ac:dyDescent="0.25">
      <c r="A30" s="16">
        <v>26</v>
      </c>
      <c r="B30" s="16" t="s">
        <v>112</v>
      </c>
      <c r="C30" s="16" t="s">
        <v>24</v>
      </c>
      <c r="D30" s="16" t="s">
        <v>113</v>
      </c>
      <c r="E30" s="17" t="s">
        <v>114</v>
      </c>
      <c r="F30" s="27">
        <f t="shared" si="0"/>
        <v>20000</v>
      </c>
      <c r="G30" s="28">
        <v>10000</v>
      </c>
      <c r="H30" s="28">
        <v>10000</v>
      </c>
      <c r="I30" s="28"/>
      <c r="J30" s="22"/>
      <c r="K30" s="22"/>
      <c r="L30" s="22"/>
      <c r="M30" s="22"/>
      <c r="N30" s="22"/>
    </row>
    <row r="31" spans="1:14" x14ac:dyDescent="0.25">
      <c r="A31" s="16">
        <v>27</v>
      </c>
      <c r="B31" s="17" t="s">
        <v>116</v>
      </c>
      <c r="C31" s="16" t="s">
        <v>24</v>
      </c>
      <c r="D31" s="16"/>
      <c r="E31" s="17" t="s">
        <v>117</v>
      </c>
      <c r="F31" s="27">
        <f t="shared" si="0"/>
        <v>20000</v>
      </c>
      <c r="G31" s="28"/>
      <c r="H31" s="28">
        <v>10000</v>
      </c>
      <c r="I31" s="28">
        <v>10000</v>
      </c>
      <c r="J31" s="22"/>
      <c r="K31" s="22"/>
      <c r="L31" s="22"/>
      <c r="M31" s="22"/>
      <c r="N31" s="22"/>
    </row>
    <row r="32" spans="1:14" x14ac:dyDescent="0.25">
      <c r="A32" s="16">
        <v>28</v>
      </c>
      <c r="B32" s="16" t="s">
        <v>119</v>
      </c>
      <c r="C32" s="16" t="s">
        <v>120</v>
      </c>
      <c r="D32" s="16" t="s">
        <v>121</v>
      </c>
      <c r="E32" s="16"/>
      <c r="F32" s="27">
        <f t="shared" si="0"/>
        <v>30000</v>
      </c>
      <c r="G32" s="28">
        <v>10000</v>
      </c>
      <c r="H32" s="28">
        <v>10000</v>
      </c>
      <c r="I32" s="28">
        <v>10000</v>
      </c>
      <c r="J32" s="22"/>
      <c r="K32" s="22"/>
      <c r="L32" s="22"/>
      <c r="M32" s="22"/>
      <c r="N32" s="22"/>
    </row>
    <row r="33" spans="1:14" x14ac:dyDescent="0.25">
      <c r="A33" s="16">
        <v>29</v>
      </c>
      <c r="B33" s="16" t="s">
        <v>123</v>
      </c>
      <c r="C33" s="16" t="s">
        <v>120</v>
      </c>
      <c r="D33" s="16" t="s">
        <v>29</v>
      </c>
      <c r="E33" s="16"/>
      <c r="F33" s="27">
        <f t="shared" si="0"/>
        <v>20000</v>
      </c>
      <c r="G33" s="28">
        <v>10000</v>
      </c>
      <c r="H33" s="28">
        <v>10000</v>
      </c>
      <c r="I33" s="28"/>
      <c r="J33" s="22"/>
      <c r="K33" s="22"/>
      <c r="L33" s="22"/>
      <c r="M33" s="22"/>
      <c r="N33" s="22"/>
    </row>
    <row r="34" spans="1:14" x14ac:dyDescent="0.25">
      <c r="A34" s="16">
        <v>30</v>
      </c>
      <c r="B34" s="16" t="s">
        <v>125</v>
      </c>
      <c r="C34" s="16" t="s">
        <v>120</v>
      </c>
      <c r="D34" s="16" t="s">
        <v>32</v>
      </c>
      <c r="E34" s="17" t="s">
        <v>126</v>
      </c>
      <c r="F34" s="27">
        <f t="shared" si="0"/>
        <v>0</v>
      </c>
      <c r="G34" s="28"/>
      <c r="H34" s="28"/>
      <c r="I34" s="28"/>
      <c r="J34" s="22"/>
      <c r="K34" s="22"/>
      <c r="L34" s="22"/>
      <c r="M34" s="22"/>
      <c r="N34" s="22"/>
    </row>
    <row r="35" spans="1:14" x14ac:dyDescent="0.25">
      <c r="A35" s="16">
        <v>31</v>
      </c>
      <c r="B35" s="16" t="s">
        <v>128</v>
      </c>
      <c r="C35" s="16" t="s">
        <v>120</v>
      </c>
      <c r="D35" s="16" t="s">
        <v>129</v>
      </c>
      <c r="E35" s="16"/>
      <c r="F35" s="27">
        <f t="shared" si="0"/>
        <v>0</v>
      </c>
      <c r="G35" s="28"/>
      <c r="H35" s="28"/>
      <c r="I35" s="28"/>
      <c r="J35" s="22"/>
      <c r="K35" s="22"/>
      <c r="L35" s="22"/>
      <c r="M35" s="22"/>
      <c r="N35" s="22"/>
    </row>
    <row r="36" spans="1:14" x14ac:dyDescent="0.25">
      <c r="A36" s="16">
        <v>32</v>
      </c>
      <c r="B36" s="16" t="s">
        <v>131</v>
      </c>
      <c r="C36" s="16" t="s">
        <v>120</v>
      </c>
      <c r="D36" s="16" t="s">
        <v>132</v>
      </c>
      <c r="E36" s="16"/>
      <c r="F36" s="27">
        <f t="shared" si="0"/>
        <v>30000</v>
      </c>
      <c r="G36" s="28">
        <v>10000</v>
      </c>
      <c r="H36" s="28">
        <v>10000</v>
      </c>
      <c r="I36" s="28">
        <v>10000</v>
      </c>
      <c r="J36" s="22"/>
      <c r="K36" s="22"/>
      <c r="L36" s="22"/>
      <c r="M36" s="22"/>
      <c r="N36" s="22"/>
    </row>
    <row r="37" spans="1:14" x14ac:dyDescent="0.25">
      <c r="A37" s="16">
        <v>33</v>
      </c>
      <c r="B37" s="16" t="s">
        <v>134</v>
      </c>
      <c r="C37" s="16" t="s">
        <v>120</v>
      </c>
      <c r="D37" s="16" t="s">
        <v>36</v>
      </c>
      <c r="E37" s="16"/>
      <c r="F37" s="27">
        <f t="shared" ref="F37:F68" si="1">SUM(G37:I37)</f>
        <v>0</v>
      </c>
      <c r="G37" s="28"/>
      <c r="H37" s="28"/>
      <c r="I37" s="28"/>
      <c r="J37" s="22"/>
      <c r="K37" s="22"/>
      <c r="L37" s="22"/>
      <c r="M37" s="22"/>
      <c r="N37" s="22"/>
    </row>
    <row r="38" spans="1:14" x14ac:dyDescent="0.25">
      <c r="A38" s="16">
        <v>34</v>
      </c>
      <c r="B38" s="16" t="s">
        <v>136</v>
      </c>
      <c r="C38" s="16" t="s">
        <v>120</v>
      </c>
      <c r="D38" s="16" t="s">
        <v>73</v>
      </c>
      <c r="E38" s="17" t="s">
        <v>137</v>
      </c>
      <c r="F38" s="27">
        <f t="shared" si="1"/>
        <v>30000</v>
      </c>
      <c r="G38" s="28">
        <v>10000</v>
      </c>
      <c r="H38" s="28">
        <v>10000</v>
      </c>
      <c r="I38" s="28">
        <v>10000</v>
      </c>
      <c r="J38" s="22"/>
      <c r="K38" s="22"/>
      <c r="L38" s="22"/>
      <c r="M38" s="22"/>
      <c r="N38" s="22"/>
    </row>
    <row r="39" spans="1:14" x14ac:dyDescent="0.25">
      <c r="A39" s="16">
        <v>35</v>
      </c>
      <c r="B39" s="16" t="s">
        <v>139</v>
      </c>
      <c r="C39" s="16" t="s">
        <v>120</v>
      </c>
      <c r="D39" s="16" t="s">
        <v>76</v>
      </c>
      <c r="E39" s="17" t="s">
        <v>140</v>
      </c>
      <c r="F39" s="27">
        <f t="shared" si="1"/>
        <v>30000</v>
      </c>
      <c r="G39" s="28">
        <v>10000</v>
      </c>
      <c r="H39" s="28">
        <v>10000</v>
      </c>
      <c r="I39" s="28">
        <v>10000</v>
      </c>
      <c r="J39" s="22"/>
      <c r="K39" s="22"/>
      <c r="L39" s="22"/>
      <c r="M39" s="22"/>
      <c r="N39" s="22"/>
    </row>
    <row r="40" spans="1:14" x14ac:dyDescent="0.25">
      <c r="A40" s="16">
        <v>36</v>
      </c>
      <c r="B40" s="16" t="s">
        <v>142</v>
      </c>
      <c r="C40" s="16" t="s">
        <v>120</v>
      </c>
      <c r="D40" s="16" t="s">
        <v>79</v>
      </c>
      <c r="E40" s="16"/>
      <c r="F40" s="27">
        <f t="shared" si="1"/>
        <v>30000</v>
      </c>
      <c r="G40" s="28">
        <v>10000</v>
      </c>
      <c r="H40" s="28">
        <v>10000</v>
      </c>
      <c r="I40" s="28">
        <v>10000</v>
      </c>
      <c r="J40" s="22"/>
      <c r="K40" s="22"/>
      <c r="L40" s="22"/>
      <c r="M40" s="22"/>
      <c r="N40" s="22"/>
    </row>
    <row r="41" spans="1:14" x14ac:dyDescent="0.25">
      <c r="A41" s="16">
        <v>37</v>
      </c>
      <c r="B41" s="16" t="s">
        <v>144</v>
      </c>
      <c r="C41" s="16" t="s">
        <v>120</v>
      </c>
      <c r="D41" s="16" t="s">
        <v>85</v>
      </c>
      <c r="E41" s="17" t="s">
        <v>145</v>
      </c>
      <c r="F41" s="27">
        <f t="shared" si="1"/>
        <v>20000</v>
      </c>
      <c r="G41" s="28">
        <v>10000</v>
      </c>
      <c r="H41" s="28"/>
      <c r="I41" s="28">
        <v>10000</v>
      </c>
      <c r="J41" s="22"/>
      <c r="K41" s="22"/>
      <c r="L41" s="22"/>
      <c r="M41" s="22"/>
      <c r="N41" s="22"/>
    </row>
    <row r="42" spans="1:14" x14ac:dyDescent="0.25">
      <c r="A42" s="16">
        <v>38</v>
      </c>
      <c r="B42" s="16" t="s">
        <v>147</v>
      </c>
      <c r="C42" s="16" t="s">
        <v>120</v>
      </c>
      <c r="D42" s="16" t="s">
        <v>89</v>
      </c>
      <c r="E42" s="17" t="s">
        <v>148</v>
      </c>
      <c r="F42" s="27">
        <f t="shared" si="1"/>
        <v>0</v>
      </c>
      <c r="G42" s="28"/>
      <c r="H42" s="28"/>
      <c r="I42" s="28"/>
      <c r="J42" s="22"/>
      <c r="K42" s="22"/>
      <c r="L42" s="22"/>
      <c r="M42" s="22"/>
      <c r="N42" s="22"/>
    </row>
    <row r="43" spans="1:14" x14ac:dyDescent="0.25">
      <c r="A43" s="16">
        <v>39</v>
      </c>
      <c r="B43" s="16" t="s">
        <v>150</v>
      </c>
      <c r="C43" s="16" t="s">
        <v>120</v>
      </c>
      <c r="D43" s="16" t="s">
        <v>151</v>
      </c>
      <c r="E43" s="17" t="s">
        <v>152</v>
      </c>
      <c r="F43" s="27">
        <f t="shared" si="1"/>
        <v>0</v>
      </c>
      <c r="G43" s="28"/>
      <c r="H43" s="28"/>
      <c r="I43" s="28"/>
      <c r="J43" s="22"/>
      <c r="K43" s="22"/>
      <c r="L43" s="22"/>
      <c r="M43" s="22"/>
      <c r="N43" s="22"/>
    </row>
    <row r="44" spans="1:14" x14ac:dyDescent="0.25">
      <c r="A44" s="16">
        <v>40</v>
      </c>
      <c r="B44" s="16" t="s">
        <v>154</v>
      </c>
      <c r="C44" s="16" t="s">
        <v>120</v>
      </c>
      <c r="D44" s="16" t="s">
        <v>93</v>
      </c>
      <c r="E44" s="17" t="s">
        <v>155</v>
      </c>
      <c r="F44" s="27">
        <f t="shared" si="1"/>
        <v>0</v>
      </c>
      <c r="G44" s="28"/>
      <c r="H44" s="28"/>
      <c r="I44" s="28"/>
      <c r="J44" s="22"/>
      <c r="K44" s="22"/>
      <c r="L44" s="22"/>
      <c r="M44" s="22"/>
      <c r="N44" s="22"/>
    </row>
    <row r="45" spans="1:14" x14ac:dyDescent="0.25">
      <c r="A45" s="16">
        <v>41</v>
      </c>
      <c r="B45" s="16" t="s">
        <v>157</v>
      </c>
      <c r="C45" s="16" t="s">
        <v>120</v>
      </c>
      <c r="D45" s="16" t="s">
        <v>97</v>
      </c>
      <c r="E45" s="16"/>
      <c r="F45" s="27">
        <f t="shared" si="1"/>
        <v>0</v>
      </c>
      <c r="G45" s="28"/>
      <c r="H45" s="28"/>
      <c r="I45" s="28"/>
      <c r="J45" s="22"/>
      <c r="K45" s="22"/>
      <c r="L45" s="22"/>
      <c r="M45" s="22"/>
      <c r="N45" s="22"/>
    </row>
    <row r="46" spans="1:14" x14ac:dyDescent="0.25">
      <c r="A46" s="16">
        <v>42</v>
      </c>
      <c r="B46" s="16" t="s">
        <v>159</v>
      </c>
      <c r="C46" s="16" t="s">
        <v>120</v>
      </c>
      <c r="D46" s="16" t="s">
        <v>109</v>
      </c>
      <c r="E46" s="16"/>
      <c r="F46" s="27">
        <f t="shared" si="1"/>
        <v>30000</v>
      </c>
      <c r="G46" s="28">
        <v>10000</v>
      </c>
      <c r="H46" s="28">
        <v>10000</v>
      </c>
      <c r="I46" s="28">
        <v>10000</v>
      </c>
      <c r="J46" s="22"/>
      <c r="K46" s="22"/>
      <c r="L46" s="22"/>
      <c r="M46" s="22"/>
      <c r="N46" s="22"/>
    </row>
    <row r="47" spans="1:14" x14ac:dyDescent="0.25">
      <c r="A47" s="16">
        <v>43</v>
      </c>
      <c r="B47" s="16" t="s">
        <v>161</v>
      </c>
      <c r="C47" s="16" t="s">
        <v>120</v>
      </c>
      <c r="D47" s="16" t="s">
        <v>162</v>
      </c>
      <c r="E47" s="17"/>
      <c r="F47" s="27">
        <f t="shared" si="1"/>
        <v>30000</v>
      </c>
      <c r="G47" s="28">
        <v>10000</v>
      </c>
      <c r="H47" s="28">
        <v>10000</v>
      </c>
      <c r="I47" s="28">
        <v>10000</v>
      </c>
      <c r="J47" s="22"/>
      <c r="K47" s="22"/>
      <c r="L47" s="22"/>
      <c r="M47" s="22"/>
      <c r="N47" s="22"/>
    </row>
    <row r="48" spans="1:14" x14ac:dyDescent="0.25">
      <c r="A48" s="16">
        <v>44</v>
      </c>
      <c r="B48" s="16" t="s">
        <v>164</v>
      </c>
      <c r="C48" s="16" t="s">
        <v>120</v>
      </c>
      <c r="D48" s="16" t="s">
        <v>165</v>
      </c>
      <c r="E48" s="16"/>
      <c r="F48" s="27">
        <f t="shared" si="1"/>
        <v>20000</v>
      </c>
      <c r="G48" s="28"/>
      <c r="H48" s="28">
        <v>10000</v>
      </c>
      <c r="I48" s="28">
        <v>10000</v>
      </c>
      <c r="J48" s="22"/>
      <c r="K48" s="22"/>
      <c r="L48" s="22"/>
      <c r="M48" s="22"/>
      <c r="N48" s="22"/>
    </row>
    <row r="49" spans="1:14" x14ac:dyDescent="0.25">
      <c r="A49" s="16">
        <v>45</v>
      </c>
      <c r="B49" s="16" t="s">
        <v>167</v>
      </c>
      <c r="C49" s="16" t="s">
        <v>120</v>
      </c>
      <c r="D49" s="16" t="s">
        <v>168</v>
      </c>
      <c r="E49" s="16"/>
      <c r="F49" s="27">
        <f t="shared" si="1"/>
        <v>30000</v>
      </c>
      <c r="G49" s="28">
        <v>10000</v>
      </c>
      <c r="H49" s="28">
        <v>10000</v>
      </c>
      <c r="I49" s="28">
        <v>10000</v>
      </c>
      <c r="J49" s="22"/>
      <c r="K49" s="22"/>
      <c r="L49" s="22"/>
      <c r="M49" s="22"/>
      <c r="N49" s="22"/>
    </row>
    <row r="50" spans="1:14" x14ac:dyDescent="0.25">
      <c r="A50" s="16">
        <v>46</v>
      </c>
      <c r="B50" s="16" t="s">
        <v>35</v>
      </c>
      <c r="C50" s="16" t="s">
        <v>120</v>
      </c>
      <c r="D50" s="16" t="s">
        <v>170</v>
      </c>
      <c r="E50" s="16"/>
      <c r="F50" s="27">
        <f t="shared" si="1"/>
        <v>30000</v>
      </c>
      <c r="G50" s="28">
        <v>10000</v>
      </c>
      <c r="H50" s="28">
        <v>10000</v>
      </c>
      <c r="I50" s="28">
        <v>10000</v>
      </c>
      <c r="J50" s="22"/>
      <c r="K50" s="22"/>
      <c r="L50" s="22"/>
      <c r="M50" s="22"/>
      <c r="N50" s="22"/>
    </row>
    <row r="51" spans="1:14" x14ac:dyDescent="0.25">
      <c r="A51" s="16">
        <v>47</v>
      </c>
      <c r="B51" s="16" t="s">
        <v>172</v>
      </c>
      <c r="C51" s="16" t="s">
        <v>120</v>
      </c>
      <c r="D51" s="16" t="s">
        <v>173</v>
      </c>
      <c r="E51" s="17" t="s">
        <v>174</v>
      </c>
      <c r="F51" s="27">
        <f t="shared" si="1"/>
        <v>0</v>
      </c>
      <c r="G51" s="28"/>
      <c r="H51" s="28"/>
      <c r="I51" s="28"/>
      <c r="J51" s="22"/>
      <c r="K51" s="22"/>
      <c r="L51" s="22"/>
      <c r="M51" s="22"/>
      <c r="N51" s="22"/>
    </row>
    <row r="52" spans="1:14" x14ac:dyDescent="0.25">
      <c r="A52" s="16">
        <v>48</v>
      </c>
      <c r="B52" s="16" t="s">
        <v>176</v>
      </c>
      <c r="C52" s="16" t="s">
        <v>120</v>
      </c>
      <c r="D52" s="16" t="s">
        <v>177</v>
      </c>
      <c r="E52" s="17" t="s">
        <v>178</v>
      </c>
      <c r="F52" s="27">
        <f t="shared" si="1"/>
        <v>0</v>
      </c>
      <c r="G52" s="28"/>
      <c r="H52" s="28"/>
      <c r="I52" s="28"/>
      <c r="J52" s="22"/>
      <c r="K52" s="22"/>
      <c r="L52" s="22"/>
      <c r="M52" s="22"/>
      <c r="N52" s="22"/>
    </row>
    <row r="53" spans="1:14" x14ac:dyDescent="0.25">
      <c r="A53" s="16">
        <v>49</v>
      </c>
      <c r="B53" s="16" t="s">
        <v>180</v>
      </c>
      <c r="C53" s="16" t="s">
        <v>120</v>
      </c>
      <c r="D53" s="16" t="s">
        <v>181</v>
      </c>
      <c r="E53" s="16"/>
      <c r="F53" s="27">
        <f t="shared" si="1"/>
        <v>30000</v>
      </c>
      <c r="G53" s="28">
        <v>10000</v>
      </c>
      <c r="H53" s="28">
        <v>10000</v>
      </c>
      <c r="I53" s="28">
        <v>10000</v>
      </c>
      <c r="J53" s="22"/>
      <c r="K53" s="22"/>
      <c r="L53" s="22"/>
      <c r="M53" s="22"/>
      <c r="N53" s="22"/>
    </row>
    <row r="54" spans="1:14" x14ac:dyDescent="0.25">
      <c r="A54" s="16">
        <v>50</v>
      </c>
      <c r="B54" s="16" t="s">
        <v>183</v>
      </c>
      <c r="C54" s="16" t="s">
        <v>120</v>
      </c>
      <c r="D54" s="16" t="s">
        <v>184</v>
      </c>
      <c r="E54" s="16"/>
      <c r="F54" s="27">
        <f t="shared" si="1"/>
        <v>30000</v>
      </c>
      <c r="G54" s="28">
        <v>10000</v>
      </c>
      <c r="H54" s="28">
        <v>10000</v>
      </c>
      <c r="I54" s="28">
        <v>10000</v>
      </c>
      <c r="J54" s="22"/>
      <c r="K54" s="22"/>
      <c r="L54" s="22"/>
      <c r="M54" s="22"/>
      <c r="N54" s="22"/>
    </row>
    <row r="55" spans="1:14" x14ac:dyDescent="0.25">
      <c r="A55" s="16">
        <v>51</v>
      </c>
      <c r="B55" s="16" t="s">
        <v>186</v>
      </c>
      <c r="C55" s="16" t="s">
        <v>120</v>
      </c>
      <c r="D55" s="16" t="s">
        <v>187</v>
      </c>
      <c r="E55" s="16"/>
      <c r="F55" s="27">
        <f t="shared" si="1"/>
        <v>20000</v>
      </c>
      <c r="G55" s="28">
        <v>10000</v>
      </c>
      <c r="H55" s="28">
        <v>10000</v>
      </c>
      <c r="I55" s="28"/>
      <c r="J55" s="22"/>
      <c r="K55" s="22"/>
      <c r="L55" s="22"/>
      <c r="M55" s="22"/>
      <c r="N55" s="22"/>
    </row>
    <row r="56" spans="1:14" x14ac:dyDescent="0.25">
      <c r="A56" s="16">
        <v>52</v>
      </c>
      <c r="B56" s="16" t="s">
        <v>189</v>
      </c>
      <c r="C56" s="16" t="s">
        <v>120</v>
      </c>
      <c r="D56" s="16" t="s">
        <v>190</v>
      </c>
      <c r="E56" s="17" t="s">
        <v>191</v>
      </c>
      <c r="F56" s="27">
        <f t="shared" si="1"/>
        <v>0</v>
      </c>
      <c r="G56" s="28"/>
      <c r="H56" s="28"/>
      <c r="I56" s="28"/>
      <c r="J56" s="22"/>
      <c r="K56" s="22"/>
      <c r="L56" s="22"/>
      <c r="M56" s="22"/>
      <c r="N56" s="22"/>
    </row>
    <row r="57" spans="1:14" x14ac:dyDescent="0.25">
      <c r="A57" s="16">
        <v>53</v>
      </c>
      <c r="B57" s="16" t="s">
        <v>194</v>
      </c>
      <c r="C57" s="16" t="s">
        <v>195</v>
      </c>
      <c r="D57" s="16" t="s">
        <v>32</v>
      </c>
      <c r="E57" s="17" t="s">
        <v>196</v>
      </c>
      <c r="F57" s="27">
        <f t="shared" si="1"/>
        <v>30000</v>
      </c>
      <c r="G57" s="28">
        <v>10000</v>
      </c>
      <c r="H57" s="28">
        <v>10000</v>
      </c>
      <c r="I57" s="28">
        <v>10000</v>
      </c>
      <c r="J57" s="22"/>
      <c r="K57" s="22"/>
      <c r="L57" s="22"/>
      <c r="M57" s="22"/>
      <c r="N57" s="22"/>
    </row>
    <row r="58" spans="1:14" x14ac:dyDescent="0.25">
      <c r="A58" s="16">
        <v>54</v>
      </c>
      <c r="B58" s="16" t="s">
        <v>237</v>
      </c>
      <c r="C58" s="16" t="s">
        <v>195</v>
      </c>
      <c r="D58" s="16" t="s">
        <v>32</v>
      </c>
      <c r="E58" s="16"/>
      <c r="F58" s="27">
        <f t="shared" si="1"/>
        <v>10000</v>
      </c>
      <c r="G58" s="28">
        <v>10000</v>
      </c>
      <c r="H58" s="28"/>
      <c r="I58" s="28"/>
      <c r="J58" s="22"/>
      <c r="K58" s="22"/>
      <c r="L58" s="22"/>
      <c r="M58" s="22"/>
      <c r="N58" s="22"/>
    </row>
    <row r="59" spans="1:14" x14ac:dyDescent="0.25">
      <c r="A59" s="16">
        <v>55</v>
      </c>
      <c r="B59" s="16" t="s">
        <v>198</v>
      </c>
      <c r="C59" s="16" t="s">
        <v>195</v>
      </c>
      <c r="D59" s="16" t="s">
        <v>199</v>
      </c>
      <c r="E59" s="17" t="s">
        <v>200</v>
      </c>
      <c r="F59" s="27">
        <f t="shared" si="1"/>
        <v>30000</v>
      </c>
      <c r="G59" s="28">
        <v>10000</v>
      </c>
      <c r="H59" s="28">
        <v>10000</v>
      </c>
      <c r="I59" s="28">
        <v>10000</v>
      </c>
      <c r="J59" s="22"/>
      <c r="K59" s="22"/>
      <c r="L59" s="22"/>
      <c r="M59" s="22"/>
      <c r="N59" s="22"/>
    </row>
    <row r="60" spans="1:14" x14ac:dyDescent="0.25">
      <c r="A60" s="16">
        <v>56</v>
      </c>
      <c r="B60" s="16" t="s">
        <v>202</v>
      </c>
      <c r="C60" s="16" t="s">
        <v>195</v>
      </c>
      <c r="D60" s="16" t="s">
        <v>203</v>
      </c>
      <c r="E60" s="17" t="s">
        <v>204</v>
      </c>
      <c r="F60" s="27">
        <f t="shared" si="1"/>
        <v>0</v>
      </c>
      <c r="G60" s="28"/>
      <c r="H60" s="28"/>
      <c r="I60" s="28"/>
      <c r="J60" s="22"/>
      <c r="K60" s="22"/>
      <c r="L60" s="22"/>
      <c r="M60" s="22"/>
      <c r="N60" s="22"/>
    </row>
    <row r="61" spans="1:14" x14ac:dyDescent="0.25">
      <c r="A61" s="16">
        <v>57</v>
      </c>
      <c r="B61" s="16" t="s">
        <v>206</v>
      </c>
      <c r="C61" s="16" t="s">
        <v>195</v>
      </c>
      <c r="D61" s="16" t="s">
        <v>203</v>
      </c>
      <c r="E61" s="17" t="s">
        <v>207</v>
      </c>
      <c r="F61" s="27">
        <f t="shared" si="1"/>
        <v>0</v>
      </c>
      <c r="G61" s="28"/>
      <c r="H61" s="28"/>
      <c r="I61" s="28"/>
      <c r="J61" s="22"/>
      <c r="K61" s="22"/>
      <c r="L61" s="22"/>
      <c r="M61" s="22"/>
      <c r="N61" s="22"/>
    </row>
    <row r="62" spans="1:14" x14ac:dyDescent="0.25">
      <c r="A62" s="16">
        <v>58</v>
      </c>
      <c r="B62" s="17" t="s">
        <v>210</v>
      </c>
      <c r="C62" s="16" t="s">
        <v>195</v>
      </c>
      <c r="D62" s="16" t="s">
        <v>51</v>
      </c>
      <c r="E62" s="17" t="s">
        <v>212</v>
      </c>
      <c r="F62" s="27">
        <f t="shared" si="1"/>
        <v>10000</v>
      </c>
      <c r="G62" s="28"/>
      <c r="H62" s="28"/>
      <c r="I62" s="28">
        <v>10000</v>
      </c>
      <c r="J62" s="22"/>
      <c r="K62" s="22"/>
      <c r="L62" s="22"/>
      <c r="M62" s="22"/>
      <c r="N62" s="22"/>
    </row>
    <row r="63" spans="1:14" x14ac:dyDescent="0.25">
      <c r="A63" s="16">
        <v>59</v>
      </c>
      <c r="B63" s="16" t="s">
        <v>220</v>
      </c>
      <c r="C63" s="16" t="s">
        <v>195</v>
      </c>
      <c r="D63" s="16" t="s">
        <v>79</v>
      </c>
      <c r="E63" s="16"/>
      <c r="F63" s="27">
        <f t="shared" si="1"/>
        <v>30000</v>
      </c>
      <c r="G63" s="28">
        <v>10000</v>
      </c>
      <c r="H63" s="28">
        <v>10000</v>
      </c>
      <c r="I63" s="28">
        <v>10000</v>
      </c>
      <c r="J63" s="22"/>
      <c r="K63" s="22"/>
      <c r="L63" s="22"/>
      <c r="M63" s="22"/>
      <c r="N63" s="22"/>
    </row>
    <row r="64" spans="1:14" x14ac:dyDescent="0.25">
      <c r="A64" s="16">
        <v>60</v>
      </c>
      <c r="B64" s="16" t="s">
        <v>222</v>
      </c>
      <c r="C64" s="16" t="s">
        <v>195</v>
      </c>
      <c r="D64" s="16" t="s">
        <v>82</v>
      </c>
      <c r="E64" s="17" t="s">
        <v>223</v>
      </c>
      <c r="F64" s="27">
        <f t="shared" si="1"/>
        <v>20000</v>
      </c>
      <c r="G64" s="28">
        <v>10000</v>
      </c>
      <c r="H64" s="28">
        <v>10000</v>
      </c>
      <c r="I64" s="28"/>
      <c r="J64" s="22"/>
      <c r="K64" s="22"/>
      <c r="L64" s="22"/>
      <c r="M64" s="22"/>
      <c r="N64" s="22"/>
    </row>
    <row r="65" spans="1:14" x14ac:dyDescent="0.25">
      <c r="A65" s="16">
        <v>61</v>
      </c>
      <c r="B65" s="16" t="s">
        <v>528</v>
      </c>
      <c r="C65" s="16" t="s">
        <v>195</v>
      </c>
      <c r="D65" s="16" t="s">
        <v>85</v>
      </c>
      <c r="E65" s="17" t="s">
        <v>226</v>
      </c>
      <c r="F65" s="27">
        <f t="shared" si="1"/>
        <v>30000</v>
      </c>
      <c r="G65" s="28">
        <v>10000</v>
      </c>
      <c r="H65" s="28">
        <v>10000</v>
      </c>
      <c r="I65" s="28">
        <v>10000</v>
      </c>
      <c r="J65" s="22"/>
      <c r="K65" s="22"/>
      <c r="L65" s="22"/>
      <c r="M65" s="22"/>
      <c r="N65" s="22"/>
    </row>
    <row r="66" spans="1:14" x14ac:dyDescent="0.25">
      <c r="A66" s="16">
        <v>62</v>
      </c>
      <c r="B66" s="16" t="s">
        <v>228</v>
      </c>
      <c r="C66" s="16" t="s">
        <v>195</v>
      </c>
      <c r="D66" s="16" t="s">
        <v>93</v>
      </c>
      <c r="E66" s="17" t="s">
        <v>229</v>
      </c>
      <c r="F66" s="27">
        <f t="shared" si="1"/>
        <v>30000</v>
      </c>
      <c r="G66" s="28">
        <v>10000</v>
      </c>
      <c r="H66" s="28">
        <v>10000</v>
      </c>
      <c r="I66" s="28">
        <v>10000</v>
      </c>
      <c r="J66" s="22"/>
      <c r="K66" s="22"/>
      <c r="L66" s="22"/>
      <c r="M66" s="22"/>
      <c r="N66" s="22"/>
    </row>
    <row r="67" spans="1:14" x14ac:dyDescent="0.25">
      <c r="A67" s="16">
        <v>63</v>
      </c>
      <c r="B67" s="16" t="s">
        <v>479</v>
      </c>
      <c r="C67" s="16" t="s">
        <v>195</v>
      </c>
      <c r="D67" s="16" t="s">
        <v>97</v>
      </c>
      <c r="E67" s="16"/>
      <c r="F67" s="27">
        <f t="shared" si="1"/>
        <v>30000</v>
      </c>
      <c r="G67" s="28">
        <v>10000</v>
      </c>
      <c r="H67" s="28">
        <v>10000</v>
      </c>
      <c r="I67" s="28">
        <v>10000</v>
      </c>
      <c r="J67" s="22"/>
      <c r="K67" s="22"/>
      <c r="L67" s="22"/>
      <c r="M67" s="22"/>
      <c r="N67" s="22"/>
    </row>
    <row r="68" spans="1:14" x14ac:dyDescent="0.25">
      <c r="A68" s="16">
        <v>64</v>
      </c>
      <c r="B68" s="16" t="s">
        <v>231</v>
      </c>
      <c r="C68" s="16" t="s">
        <v>195</v>
      </c>
      <c r="D68" s="16" t="s">
        <v>105</v>
      </c>
      <c r="E68" s="17" t="s">
        <v>232</v>
      </c>
      <c r="F68" s="27">
        <f t="shared" si="1"/>
        <v>0</v>
      </c>
      <c r="G68" s="28"/>
      <c r="H68" s="28"/>
      <c r="I68" s="28"/>
      <c r="J68" s="22"/>
      <c r="K68" s="22"/>
      <c r="L68" s="22"/>
      <c r="M68" s="22"/>
      <c r="N68" s="22"/>
    </row>
    <row r="69" spans="1:14" x14ac:dyDescent="0.25">
      <c r="A69" s="16">
        <v>65</v>
      </c>
      <c r="B69" s="16" t="s">
        <v>234</v>
      </c>
      <c r="C69" s="16" t="s">
        <v>195</v>
      </c>
      <c r="D69" s="16" t="s">
        <v>109</v>
      </c>
      <c r="E69" s="17" t="s">
        <v>235</v>
      </c>
      <c r="F69" s="27">
        <f t="shared" ref="F69:F100" si="2">SUM(G69:I69)</f>
        <v>30000</v>
      </c>
      <c r="G69" s="28">
        <v>10000</v>
      </c>
      <c r="H69" s="28">
        <v>10000</v>
      </c>
      <c r="I69" s="28">
        <v>10000</v>
      </c>
      <c r="J69" s="22"/>
      <c r="K69" s="22"/>
      <c r="L69" s="22"/>
      <c r="M69" s="22"/>
      <c r="N69" s="22"/>
    </row>
    <row r="70" spans="1:14" x14ac:dyDescent="0.25">
      <c r="A70" s="16">
        <v>66</v>
      </c>
      <c r="B70" s="16" t="s">
        <v>529</v>
      </c>
      <c r="C70" s="16" t="s">
        <v>195</v>
      </c>
      <c r="D70" s="16" t="s">
        <v>162</v>
      </c>
      <c r="E70" s="16"/>
      <c r="F70" s="27">
        <f t="shared" si="2"/>
        <v>0</v>
      </c>
      <c r="G70" s="28"/>
      <c r="H70" s="28"/>
      <c r="I70" s="28"/>
      <c r="J70" s="22"/>
      <c r="K70" s="22"/>
      <c r="L70" s="22"/>
      <c r="M70" s="22"/>
      <c r="N70" s="22"/>
    </row>
    <row r="71" spans="1:14" x14ac:dyDescent="0.25">
      <c r="A71" s="16">
        <v>67</v>
      </c>
      <c r="B71" s="16" t="s">
        <v>237</v>
      </c>
      <c r="C71" s="16" t="s">
        <v>195</v>
      </c>
      <c r="D71" s="16" t="s">
        <v>162</v>
      </c>
      <c r="E71" s="16"/>
      <c r="F71" s="27">
        <f t="shared" si="2"/>
        <v>20000</v>
      </c>
      <c r="G71" s="28"/>
      <c r="H71" s="28">
        <v>10000</v>
      </c>
      <c r="I71" s="28">
        <v>10000</v>
      </c>
      <c r="J71" s="22" t="s">
        <v>530</v>
      </c>
      <c r="K71" s="22"/>
      <c r="L71" s="22"/>
      <c r="M71" s="22"/>
      <c r="N71" s="22"/>
    </row>
    <row r="72" spans="1:14" x14ac:dyDescent="0.25">
      <c r="A72" s="16">
        <v>68</v>
      </c>
      <c r="B72" s="16" t="s">
        <v>239</v>
      </c>
      <c r="C72" s="16" t="s">
        <v>195</v>
      </c>
      <c r="D72" s="16" t="s">
        <v>240</v>
      </c>
      <c r="E72" s="16"/>
      <c r="F72" s="27">
        <f t="shared" si="2"/>
        <v>30000</v>
      </c>
      <c r="G72" s="28">
        <v>10000</v>
      </c>
      <c r="H72" s="28">
        <v>10000</v>
      </c>
      <c r="I72" s="28">
        <v>10000</v>
      </c>
      <c r="J72" s="22"/>
      <c r="K72" s="22"/>
      <c r="L72" s="22"/>
      <c r="M72" s="22"/>
      <c r="N72" s="22"/>
    </row>
    <row r="73" spans="1:14" x14ac:dyDescent="0.25">
      <c r="A73" s="16">
        <v>69</v>
      </c>
      <c r="B73" s="16" t="s">
        <v>242</v>
      </c>
      <c r="C73" s="16" t="s">
        <v>195</v>
      </c>
      <c r="D73" s="16" t="s">
        <v>243</v>
      </c>
      <c r="E73" s="17" t="s">
        <v>244</v>
      </c>
      <c r="F73" s="27">
        <f t="shared" si="2"/>
        <v>30000</v>
      </c>
      <c r="G73" s="28">
        <v>10000</v>
      </c>
      <c r="H73" s="28">
        <v>10000</v>
      </c>
      <c r="I73" s="28">
        <v>10000</v>
      </c>
      <c r="J73" s="22"/>
      <c r="K73" s="22"/>
      <c r="L73" s="22"/>
      <c r="M73" s="22"/>
      <c r="N73" s="22"/>
    </row>
    <row r="74" spans="1:14" x14ac:dyDescent="0.25">
      <c r="A74" s="16">
        <v>70</v>
      </c>
      <c r="B74" s="16" t="s">
        <v>194</v>
      </c>
      <c r="C74" s="16" t="s">
        <v>195</v>
      </c>
      <c r="D74" s="16" t="s">
        <v>246</v>
      </c>
      <c r="E74" s="17" t="s">
        <v>247</v>
      </c>
      <c r="F74" s="27">
        <f t="shared" si="2"/>
        <v>30000</v>
      </c>
      <c r="G74" s="28">
        <v>10000</v>
      </c>
      <c r="H74" s="28">
        <v>10000</v>
      </c>
      <c r="I74" s="28">
        <v>10000</v>
      </c>
      <c r="J74" s="22"/>
      <c r="K74" s="22"/>
      <c r="L74" s="22"/>
      <c r="M74" s="22"/>
      <c r="N74" s="22"/>
    </row>
    <row r="75" spans="1:14" x14ac:dyDescent="0.25">
      <c r="A75" s="16">
        <v>71</v>
      </c>
      <c r="B75" s="16" t="s">
        <v>252</v>
      </c>
      <c r="C75" s="16" t="s">
        <v>195</v>
      </c>
      <c r="D75" s="16" t="s">
        <v>253</v>
      </c>
      <c r="E75" s="17" t="s">
        <v>254</v>
      </c>
      <c r="F75" s="27">
        <f t="shared" si="2"/>
        <v>30000</v>
      </c>
      <c r="G75" s="28">
        <v>10000</v>
      </c>
      <c r="H75" s="28">
        <v>10000</v>
      </c>
      <c r="I75" s="28">
        <v>10000</v>
      </c>
      <c r="J75" s="22"/>
      <c r="K75" s="22"/>
      <c r="L75" s="22"/>
      <c r="M75" s="22"/>
      <c r="N75" s="22"/>
    </row>
    <row r="76" spans="1:14" x14ac:dyDescent="0.25">
      <c r="A76" s="16">
        <v>72</v>
      </c>
      <c r="B76" s="16" t="s">
        <v>256</v>
      </c>
      <c r="C76" s="16" t="s">
        <v>195</v>
      </c>
      <c r="D76" s="16" t="s">
        <v>170</v>
      </c>
      <c r="E76" s="17" t="s">
        <v>257</v>
      </c>
      <c r="F76" s="27">
        <f t="shared" si="2"/>
        <v>10000</v>
      </c>
      <c r="G76" s="28">
        <v>10000</v>
      </c>
      <c r="H76" s="28"/>
      <c r="I76" s="28"/>
      <c r="J76" s="22"/>
      <c r="K76" s="22"/>
      <c r="L76" s="22"/>
      <c r="M76" s="22"/>
      <c r="N76" s="22"/>
    </row>
    <row r="77" spans="1:14" x14ac:dyDescent="0.25">
      <c r="A77" s="16">
        <v>73</v>
      </c>
      <c r="B77" s="16" t="s">
        <v>249</v>
      </c>
      <c r="C77" s="16" t="s">
        <v>195</v>
      </c>
      <c r="D77" s="16" t="s">
        <v>187</v>
      </c>
      <c r="E77" s="17" t="s">
        <v>250</v>
      </c>
      <c r="F77" s="27">
        <f t="shared" si="2"/>
        <v>30000</v>
      </c>
      <c r="G77" s="28">
        <v>10000</v>
      </c>
      <c r="H77" s="28">
        <v>10000</v>
      </c>
      <c r="I77" s="28">
        <v>10000</v>
      </c>
      <c r="J77" s="22"/>
      <c r="K77" s="22"/>
      <c r="L77" s="22"/>
      <c r="M77" s="22"/>
      <c r="N77" s="22"/>
    </row>
    <row r="78" spans="1:14" x14ac:dyDescent="0.25">
      <c r="A78" s="16">
        <v>74</v>
      </c>
      <c r="B78" s="16" t="s">
        <v>456</v>
      </c>
      <c r="C78" s="16" t="s">
        <v>195</v>
      </c>
      <c r="D78" s="16" t="s">
        <v>457</v>
      </c>
      <c r="E78" s="16"/>
      <c r="F78" s="27">
        <f t="shared" si="2"/>
        <v>30000</v>
      </c>
      <c r="G78" s="28">
        <v>10000</v>
      </c>
      <c r="H78" s="28">
        <v>10000</v>
      </c>
      <c r="I78" s="28">
        <v>10000</v>
      </c>
      <c r="J78" s="22"/>
      <c r="K78" s="22"/>
      <c r="L78" s="22"/>
      <c r="M78" s="22"/>
      <c r="N78" s="22"/>
    </row>
    <row r="79" spans="1:14" x14ac:dyDescent="0.25">
      <c r="A79" s="16">
        <v>75</v>
      </c>
      <c r="B79" s="16" t="s">
        <v>259</v>
      </c>
      <c r="C79" s="16" t="s">
        <v>195</v>
      </c>
      <c r="D79" s="16" t="s">
        <v>480</v>
      </c>
      <c r="E79" s="16"/>
      <c r="F79" s="27">
        <f t="shared" si="2"/>
        <v>20000</v>
      </c>
      <c r="G79" s="28">
        <v>10000</v>
      </c>
      <c r="H79" s="28"/>
      <c r="I79" s="28">
        <v>10000</v>
      </c>
      <c r="J79" s="22"/>
      <c r="K79" s="22"/>
      <c r="L79" s="22"/>
      <c r="M79" s="22"/>
      <c r="N79" s="22"/>
    </row>
    <row r="80" spans="1:14" x14ac:dyDescent="0.25">
      <c r="A80" s="16">
        <v>76</v>
      </c>
      <c r="B80" s="16" t="s">
        <v>531</v>
      </c>
      <c r="C80" s="16" t="s">
        <v>195</v>
      </c>
      <c r="D80" s="16" t="s">
        <v>262</v>
      </c>
      <c r="E80" s="17" t="s">
        <v>263</v>
      </c>
      <c r="F80" s="27">
        <f t="shared" si="2"/>
        <v>0</v>
      </c>
      <c r="G80" s="28"/>
      <c r="H80" s="28"/>
      <c r="I80" s="28"/>
      <c r="J80" s="22"/>
      <c r="K80" s="22"/>
      <c r="L80" s="22"/>
      <c r="M80" s="22"/>
      <c r="N80" s="22"/>
    </row>
    <row r="81" spans="1:14" x14ac:dyDescent="0.25">
      <c r="A81" s="16">
        <v>77</v>
      </c>
      <c r="B81" s="16" t="s">
        <v>261</v>
      </c>
      <c r="C81" s="16" t="s">
        <v>195</v>
      </c>
      <c r="D81" s="16" t="s">
        <v>262</v>
      </c>
      <c r="E81" s="16"/>
      <c r="F81" s="27">
        <f t="shared" si="2"/>
        <v>30000</v>
      </c>
      <c r="G81" s="28">
        <v>10000</v>
      </c>
      <c r="H81" s="28">
        <v>10000</v>
      </c>
      <c r="I81" s="28">
        <v>10000</v>
      </c>
      <c r="J81" s="22"/>
      <c r="K81" s="22"/>
      <c r="L81" s="22"/>
      <c r="M81" s="22"/>
      <c r="N81" s="22"/>
    </row>
    <row r="82" spans="1:14" x14ac:dyDescent="0.25">
      <c r="A82" s="16">
        <v>78</v>
      </c>
      <c r="B82" s="16" t="s">
        <v>265</v>
      </c>
      <c r="C82" s="16" t="s">
        <v>195</v>
      </c>
      <c r="D82" s="16" t="s">
        <v>266</v>
      </c>
      <c r="E82" s="16"/>
      <c r="F82" s="27">
        <f t="shared" si="2"/>
        <v>30000</v>
      </c>
      <c r="G82" s="28">
        <v>10000</v>
      </c>
      <c r="H82" s="28">
        <v>10000</v>
      </c>
      <c r="I82" s="28">
        <v>10000</v>
      </c>
      <c r="J82" s="22" t="s">
        <v>532</v>
      </c>
      <c r="K82" s="22"/>
      <c r="L82" s="22"/>
      <c r="M82" s="22"/>
      <c r="N82" s="22"/>
    </row>
    <row r="83" spans="1:14" x14ac:dyDescent="0.25">
      <c r="A83" s="16">
        <v>79</v>
      </c>
      <c r="B83" s="16" t="s">
        <v>268</v>
      </c>
      <c r="C83" s="16" t="s">
        <v>195</v>
      </c>
      <c r="D83" s="16" t="s">
        <v>269</v>
      </c>
      <c r="E83" s="17" t="s">
        <v>270</v>
      </c>
      <c r="F83" s="27">
        <f t="shared" si="2"/>
        <v>30000</v>
      </c>
      <c r="G83" s="28">
        <v>10000</v>
      </c>
      <c r="H83" s="28">
        <v>10000</v>
      </c>
      <c r="I83" s="28">
        <v>10000</v>
      </c>
      <c r="J83" s="22"/>
      <c r="K83" s="22"/>
      <c r="L83" s="22"/>
      <c r="M83" s="22"/>
      <c r="N83" s="22"/>
    </row>
    <row r="84" spans="1:14" x14ac:dyDescent="0.25">
      <c r="A84" s="16">
        <v>80</v>
      </c>
      <c r="B84" s="16" t="s">
        <v>272</v>
      </c>
      <c r="C84" s="16" t="s">
        <v>195</v>
      </c>
      <c r="D84" s="16" t="s">
        <v>273</v>
      </c>
      <c r="E84" s="17" t="s">
        <v>274</v>
      </c>
      <c r="F84" s="27">
        <f t="shared" si="2"/>
        <v>30000</v>
      </c>
      <c r="G84" s="28">
        <v>10000</v>
      </c>
      <c r="H84" s="28">
        <v>10000</v>
      </c>
      <c r="I84" s="28">
        <v>10000</v>
      </c>
      <c r="J84" s="22"/>
      <c r="K84" s="22"/>
      <c r="L84" s="22"/>
      <c r="M84" s="22"/>
      <c r="N84" s="22"/>
    </row>
    <row r="85" spans="1:14" x14ac:dyDescent="0.25">
      <c r="A85" s="16">
        <v>81</v>
      </c>
      <c r="B85" s="16" t="s">
        <v>459</v>
      </c>
      <c r="C85" s="16" t="s">
        <v>195</v>
      </c>
      <c r="D85" s="16" t="s">
        <v>460</v>
      </c>
      <c r="E85" s="16"/>
      <c r="F85" s="27">
        <f t="shared" si="2"/>
        <v>30000</v>
      </c>
      <c r="G85" s="28">
        <v>10000</v>
      </c>
      <c r="H85" s="28">
        <v>10000</v>
      </c>
      <c r="I85" s="28">
        <v>10000</v>
      </c>
      <c r="J85" s="22"/>
      <c r="K85" s="22"/>
      <c r="L85" s="22"/>
      <c r="M85" s="22"/>
      <c r="N85" s="22"/>
    </row>
    <row r="86" spans="1:14" x14ac:dyDescent="0.25">
      <c r="A86" s="16">
        <v>82</v>
      </c>
      <c r="B86" s="16" t="s">
        <v>276</v>
      </c>
      <c r="C86" s="16" t="s">
        <v>195</v>
      </c>
      <c r="D86" s="16" t="s">
        <v>277</v>
      </c>
      <c r="E86" s="17" t="s">
        <v>278</v>
      </c>
      <c r="F86" s="27">
        <f t="shared" si="2"/>
        <v>10000</v>
      </c>
      <c r="G86" s="28"/>
      <c r="H86" s="28"/>
      <c r="I86" s="28">
        <v>10000</v>
      </c>
      <c r="J86" s="22"/>
      <c r="K86" s="22"/>
      <c r="L86" s="22"/>
      <c r="M86" s="22"/>
      <c r="N86" s="22"/>
    </row>
    <row r="87" spans="1:14" x14ac:dyDescent="0.25">
      <c r="A87" s="16">
        <v>83</v>
      </c>
      <c r="B87" s="16" t="s">
        <v>283</v>
      </c>
      <c r="C87" s="16" t="s">
        <v>195</v>
      </c>
      <c r="D87" s="16" t="s">
        <v>284</v>
      </c>
      <c r="E87" s="16"/>
      <c r="F87" s="27">
        <f t="shared" si="2"/>
        <v>20000</v>
      </c>
      <c r="G87" s="28"/>
      <c r="H87" s="28">
        <v>10000</v>
      </c>
      <c r="I87" s="28">
        <v>10000</v>
      </c>
      <c r="J87" s="22" t="s">
        <v>530</v>
      </c>
      <c r="K87" s="22"/>
      <c r="L87" s="22"/>
      <c r="M87" s="22"/>
      <c r="N87" s="22"/>
    </row>
    <row r="88" spans="1:14" x14ac:dyDescent="0.25">
      <c r="A88" s="16">
        <v>84</v>
      </c>
      <c r="B88" s="16" t="s">
        <v>462</v>
      </c>
      <c r="C88" s="16" t="s">
        <v>195</v>
      </c>
      <c r="D88" s="16" t="s">
        <v>463</v>
      </c>
      <c r="E88" s="16"/>
      <c r="F88" s="27">
        <f t="shared" si="2"/>
        <v>30000</v>
      </c>
      <c r="G88" s="28">
        <v>10000</v>
      </c>
      <c r="H88" s="28">
        <v>10000</v>
      </c>
      <c r="I88" s="28">
        <v>10000</v>
      </c>
      <c r="J88" s="22"/>
      <c r="K88" s="22"/>
      <c r="L88" s="22"/>
      <c r="M88" s="22"/>
      <c r="N88" s="22"/>
    </row>
    <row r="89" spans="1:14" x14ac:dyDescent="0.25">
      <c r="A89" s="16">
        <v>85</v>
      </c>
      <c r="B89" s="16" t="s">
        <v>286</v>
      </c>
      <c r="C89" s="16" t="s">
        <v>195</v>
      </c>
      <c r="D89" s="16" t="s">
        <v>287</v>
      </c>
      <c r="E89" s="17" t="s">
        <v>288</v>
      </c>
      <c r="F89" s="27">
        <f t="shared" si="2"/>
        <v>20000</v>
      </c>
      <c r="G89" s="28">
        <v>10000</v>
      </c>
      <c r="H89" s="28"/>
      <c r="I89" s="28">
        <v>10000</v>
      </c>
      <c r="J89" s="22"/>
      <c r="K89" s="22"/>
      <c r="L89" s="22"/>
      <c r="M89" s="22"/>
      <c r="N89" s="22"/>
    </row>
    <row r="90" spans="1:14" x14ac:dyDescent="0.25">
      <c r="A90" s="16">
        <v>86</v>
      </c>
      <c r="B90" s="16" t="s">
        <v>290</v>
      </c>
      <c r="C90" s="16" t="s">
        <v>195</v>
      </c>
      <c r="D90" s="16" t="s">
        <v>291</v>
      </c>
      <c r="E90" s="16"/>
      <c r="F90" s="27">
        <f t="shared" si="2"/>
        <v>10000</v>
      </c>
      <c r="G90" s="28"/>
      <c r="H90" s="28"/>
      <c r="I90" s="28">
        <v>10000</v>
      </c>
      <c r="J90" s="22" t="s">
        <v>533</v>
      </c>
      <c r="K90" s="22"/>
      <c r="L90" s="22"/>
      <c r="M90" s="22"/>
      <c r="N90" s="22"/>
    </row>
    <row r="91" spans="1:14" x14ac:dyDescent="0.25">
      <c r="A91" s="16">
        <v>87</v>
      </c>
      <c r="B91" s="16" t="s">
        <v>293</v>
      </c>
      <c r="C91" s="16" t="s">
        <v>195</v>
      </c>
      <c r="D91" s="16" t="s">
        <v>294</v>
      </c>
      <c r="E91" s="16"/>
      <c r="F91" s="27">
        <f t="shared" si="2"/>
        <v>10000</v>
      </c>
      <c r="G91" s="28"/>
      <c r="H91" s="28">
        <v>10000</v>
      </c>
      <c r="I91" s="28"/>
      <c r="J91" s="22" t="s">
        <v>530</v>
      </c>
      <c r="K91" s="22"/>
      <c r="L91" s="22"/>
      <c r="M91" s="22"/>
      <c r="N91" s="22"/>
    </row>
    <row r="92" spans="1:14" x14ac:dyDescent="0.25">
      <c r="A92" s="16">
        <v>88</v>
      </c>
      <c r="B92" s="16" t="s">
        <v>534</v>
      </c>
      <c r="C92" s="16" t="s">
        <v>195</v>
      </c>
      <c r="D92" s="16" t="s">
        <v>469</v>
      </c>
      <c r="E92" s="16"/>
      <c r="F92" s="27">
        <f t="shared" si="2"/>
        <v>30000</v>
      </c>
      <c r="G92" s="28">
        <v>10000</v>
      </c>
      <c r="H92" s="28">
        <v>10000</v>
      </c>
      <c r="I92" s="44">
        <v>10000</v>
      </c>
      <c r="J92" s="22"/>
      <c r="K92" s="22"/>
      <c r="L92" s="22"/>
      <c r="M92" s="22"/>
      <c r="N92" s="22"/>
    </row>
    <row r="93" spans="1:14" x14ac:dyDescent="0.25">
      <c r="A93" s="16">
        <v>89</v>
      </c>
      <c r="B93" s="16" t="s">
        <v>296</v>
      </c>
      <c r="C93" s="16" t="s">
        <v>195</v>
      </c>
      <c r="D93" s="16" t="s">
        <v>297</v>
      </c>
      <c r="E93" s="17" t="s">
        <v>298</v>
      </c>
      <c r="F93" s="27">
        <f t="shared" si="2"/>
        <v>30000</v>
      </c>
      <c r="G93" s="28">
        <v>10000</v>
      </c>
      <c r="H93" s="28">
        <v>10000</v>
      </c>
      <c r="I93" s="28">
        <v>10000</v>
      </c>
      <c r="J93" s="22"/>
      <c r="K93" s="22"/>
      <c r="L93" s="22"/>
      <c r="M93" s="22"/>
      <c r="N93" s="22"/>
    </row>
    <row r="94" spans="1:14" x14ac:dyDescent="0.25">
      <c r="A94" s="16">
        <v>90</v>
      </c>
      <c r="B94" s="16" t="s">
        <v>300</v>
      </c>
      <c r="C94" s="16" t="s">
        <v>195</v>
      </c>
      <c r="D94" s="16" t="s">
        <v>301</v>
      </c>
      <c r="E94" s="16"/>
      <c r="F94" s="27">
        <f t="shared" si="2"/>
        <v>30000</v>
      </c>
      <c r="G94" s="28">
        <v>10000</v>
      </c>
      <c r="H94" s="28">
        <v>10000</v>
      </c>
      <c r="I94" s="28">
        <v>10000</v>
      </c>
      <c r="J94" s="22"/>
      <c r="K94" s="22"/>
      <c r="L94" s="22"/>
      <c r="M94" s="22"/>
      <c r="N94" s="22"/>
    </row>
    <row r="95" spans="1:14" x14ac:dyDescent="0.25">
      <c r="A95" s="16">
        <v>91</v>
      </c>
      <c r="B95" s="16" t="s">
        <v>303</v>
      </c>
      <c r="C95" s="16" t="s">
        <v>195</v>
      </c>
      <c r="D95" s="16" t="s">
        <v>304</v>
      </c>
      <c r="E95" s="16"/>
      <c r="F95" s="27">
        <f t="shared" si="2"/>
        <v>30000</v>
      </c>
      <c r="G95" s="28">
        <v>10000</v>
      </c>
      <c r="H95" s="28">
        <v>10000</v>
      </c>
      <c r="I95" s="28">
        <v>10000</v>
      </c>
      <c r="J95" s="22" t="s">
        <v>530</v>
      </c>
      <c r="K95" s="22"/>
      <c r="L95" s="22"/>
      <c r="M95" s="22"/>
      <c r="N95" s="22"/>
    </row>
    <row r="96" spans="1:14" x14ac:dyDescent="0.25">
      <c r="A96" s="16">
        <v>92</v>
      </c>
      <c r="B96" s="16" t="s">
        <v>234</v>
      </c>
      <c r="C96" s="16" t="s">
        <v>195</v>
      </c>
      <c r="D96" s="16" t="s">
        <v>306</v>
      </c>
      <c r="E96" s="16"/>
      <c r="F96" s="27">
        <f t="shared" si="2"/>
        <v>20000</v>
      </c>
      <c r="G96" s="28"/>
      <c r="H96" s="28">
        <v>10000</v>
      </c>
      <c r="I96" s="28">
        <v>10000</v>
      </c>
      <c r="J96" s="22" t="s">
        <v>530</v>
      </c>
      <c r="K96" s="22"/>
      <c r="L96" s="22"/>
      <c r="M96" s="22"/>
      <c r="N96" s="22"/>
    </row>
    <row r="97" spans="1:14" x14ac:dyDescent="0.25">
      <c r="A97" s="16">
        <v>93</v>
      </c>
      <c r="B97" s="16" t="s">
        <v>139</v>
      </c>
      <c r="C97" s="16" t="s">
        <v>195</v>
      </c>
      <c r="D97" s="16" t="s">
        <v>308</v>
      </c>
      <c r="E97" s="17" t="s">
        <v>309</v>
      </c>
      <c r="F97" s="27">
        <f t="shared" si="2"/>
        <v>30000</v>
      </c>
      <c r="G97" s="28">
        <v>10000</v>
      </c>
      <c r="H97" s="28">
        <v>10000</v>
      </c>
      <c r="I97" s="28">
        <v>10000</v>
      </c>
      <c r="J97" s="22"/>
      <c r="K97" s="22"/>
      <c r="L97" s="22"/>
      <c r="M97" s="22"/>
      <c r="N97" s="22"/>
    </row>
    <row r="98" spans="1:14" x14ac:dyDescent="0.25">
      <c r="A98" s="16">
        <v>94</v>
      </c>
      <c r="B98" s="16" t="s">
        <v>280</v>
      </c>
      <c r="C98" s="16" t="s">
        <v>195</v>
      </c>
      <c r="D98" s="16" t="s">
        <v>281</v>
      </c>
      <c r="E98" s="16"/>
      <c r="F98" s="27">
        <f t="shared" si="2"/>
        <v>30000</v>
      </c>
      <c r="G98" s="28">
        <v>10000</v>
      </c>
      <c r="H98" s="28">
        <v>10000</v>
      </c>
      <c r="I98" s="28">
        <v>10000</v>
      </c>
      <c r="J98" s="22"/>
      <c r="K98" s="22"/>
      <c r="L98" s="22"/>
      <c r="M98" s="22"/>
      <c r="N98" s="22"/>
    </row>
    <row r="99" spans="1:14" x14ac:dyDescent="0.25">
      <c r="A99" s="16">
        <v>95</v>
      </c>
      <c r="B99" s="16" t="s">
        <v>311</v>
      </c>
      <c r="C99" s="16" t="s">
        <v>195</v>
      </c>
      <c r="D99" s="16" t="s">
        <v>312</v>
      </c>
      <c r="E99" s="17" t="s">
        <v>313</v>
      </c>
      <c r="F99" s="27">
        <f t="shared" si="2"/>
        <v>20000</v>
      </c>
      <c r="G99" s="28">
        <v>10000</v>
      </c>
      <c r="H99" s="28"/>
      <c r="I99" s="28">
        <v>10000</v>
      </c>
      <c r="J99" s="22"/>
      <c r="K99" s="22"/>
      <c r="L99" s="22"/>
      <c r="M99" s="22"/>
      <c r="N99" s="22"/>
    </row>
    <row r="100" spans="1:14" x14ac:dyDescent="0.25">
      <c r="A100" s="16">
        <v>96</v>
      </c>
      <c r="B100" s="16" t="s">
        <v>315</v>
      </c>
      <c r="C100" s="16" t="s">
        <v>195</v>
      </c>
      <c r="D100" s="16" t="s">
        <v>316</v>
      </c>
      <c r="E100" s="16"/>
      <c r="F100" s="27">
        <f t="shared" si="2"/>
        <v>10000</v>
      </c>
      <c r="G100" s="28"/>
      <c r="H100" s="28"/>
      <c r="I100" s="28">
        <v>10000</v>
      </c>
      <c r="J100" s="22" t="s">
        <v>533</v>
      </c>
      <c r="K100" s="22"/>
      <c r="L100" s="22"/>
      <c r="M100" s="22"/>
      <c r="N100" s="22"/>
    </row>
    <row r="101" spans="1:14" x14ac:dyDescent="0.25">
      <c r="A101" s="16">
        <v>97</v>
      </c>
      <c r="B101" s="16" t="s">
        <v>318</v>
      </c>
      <c r="C101" s="16" t="s">
        <v>195</v>
      </c>
      <c r="D101" s="16" t="s">
        <v>319</v>
      </c>
      <c r="E101" s="16"/>
      <c r="F101" s="27">
        <f t="shared" ref="F101:F132" si="3">SUM(G101:I101)</f>
        <v>20000</v>
      </c>
      <c r="G101" s="28">
        <v>10000</v>
      </c>
      <c r="H101" s="28"/>
      <c r="I101" s="28">
        <v>10000</v>
      </c>
      <c r="J101" s="22"/>
      <c r="K101" s="22"/>
      <c r="L101" s="22"/>
      <c r="M101" s="22"/>
      <c r="N101" s="22"/>
    </row>
    <row r="102" spans="1:14" x14ac:dyDescent="0.25">
      <c r="A102" s="16">
        <v>98</v>
      </c>
      <c r="B102" s="16" t="s">
        <v>321</v>
      </c>
      <c r="C102" s="16" t="s">
        <v>195</v>
      </c>
      <c r="D102" s="16" t="s">
        <v>322</v>
      </c>
      <c r="E102" s="16"/>
      <c r="F102" s="27">
        <f t="shared" si="3"/>
        <v>10000</v>
      </c>
      <c r="G102" s="28"/>
      <c r="H102" s="28"/>
      <c r="I102" s="28">
        <v>10000</v>
      </c>
      <c r="J102" s="22"/>
      <c r="K102" s="22"/>
      <c r="L102" s="22"/>
      <c r="M102" s="22"/>
      <c r="N102" s="22"/>
    </row>
    <row r="103" spans="1:14" x14ac:dyDescent="0.25">
      <c r="A103" s="16">
        <v>99</v>
      </c>
      <c r="B103" s="16" t="s">
        <v>324</v>
      </c>
      <c r="C103" s="16" t="s">
        <v>195</v>
      </c>
      <c r="D103" s="16" t="s">
        <v>325</v>
      </c>
      <c r="E103" s="16"/>
      <c r="F103" s="27">
        <f t="shared" si="3"/>
        <v>20000</v>
      </c>
      <c r="G103" s="28"/>
      <c r="H103" s="28">
        <v>10000</v>
      </c>
      <c r="I103" s="28">
        <v>10000</v>
      </c>
      <c r="J103" s="22" t="s">
        <v>530</v>
      </c>
      <c r="K103" s="22"/>
      <c r="L103" s="22"/>
      <c r="M103" s="22"/>
      <c r="N103" s="22"/>
    </row>
    <row r="104" spans="1:14" x14ac:dyDescent="0.25">
      <c r="A104" s="16">
        <v>100</v>
      </c>
      <c r="B104" s="16" t="s">
        <v>535</v>
      </c>
      <c r="C104" s="16" t="s">
        <v>195</v>
      </c>
      <c r="D104" s="16" t="s">
        <v>329</v>
      </c>
      <c r="E104" s="16"/>
      <c r="F104" s="27">
        <f t="shared" si="3"/>
        <v>20000</v>
      </c>
      <c r="G104" s="28">
        <v>10000</v>
      </c>
      <c r="H104" s="28">
        <v>10000</v>
      </c>
      <c r="I104" s="28"/>
      <c r="J104" s="22"/>
      <c r="K104" s="22"/>
      <c r="L104" s="22"/>
      <c r="M104" s="22"/>
      <c r="N104" s="22"/>
    </row>
    <row r="105" spans="1:14" x14ac:dyDescent="0.25">
      <c r="A105" s="16">
        <v>101</v>
      </c>
      <c r="B105" s="16" t="s">
        <v>331</v>
      </c>
      <c r="C105" s="16" t="s">
        <v>195</v>
      </c>
      <c r="D105" s="16" t="s">
        <v>332</v>
      </c>
      <c r="E105" s="16"/>
      <c r="F105" s="27">
        <f t="shared" si="3"/>
        <v>10000</v>
      </c>
      <c r="G105" s="28"/>
      <c r="H105" s="28"/>
      <c r="I105" s="28">
        <v>10000</v>
      </c>
      <c r="J105" s="22" t="s">
        <v>533</v>
      </c>
      <c r="K105" s="22"/>
      <c r="L105" s="22"/>
      <c r="M105" s="22"/>
      <c r="N105" s="22"/>
    </row>
    <row r="106" spans="1:14" x14ac:dyDescent="0.25">
      <c r="A106" s="16">
        <v>102</v>
      </c>
      <c r="B106" s="16" t="s">
        <v>334</v>
      </c>
      <c r="C106" s="16" t="s">
        <v>195</v>
      </c>
      <c r="D106" s="16" t="s">
        <v>335</v>
      </c>
      <c r="E106" s="16"/>
      <c r="F106" s="27">
        <f t="shared" si="3"/>
        <v>10000</v>
      </c>
      <c r="G106" s="28"/>
      <c r="H106" s="28"/>
      <c r="I106" s="28">
        <v>10000</v>
      </c>
      <c r="J106" s="22" t="s">
        <v>533</v>
      </c>
      <c r="K106" s="22"/>
      <c r="L106" s="22"/>
      <c r="M106" s="22"/>
      <c r="N106" s="22"/>
    </row>
    <row r="107" spans="1:14" x14ac:dyDescent="0.25">
      <c r="A107" s="16">
        <v>103</v>
      </c>
      <c r="B107" s="16" t="s">
        <v>337</v>
      </c>
      <c r="C107" s="16" t="s">
        <v>195</v>
      </c>
      <c r="D107" s="16" t="s">
        <v>338</v>
      </c>
      <c r="E107" s="17" t="s">
        <v>339</v>
      </c>
      <c r="F107" s="27">
        <f t="shared" si="3"/>
        <v>0</v>
      </c>
      <c r="G107" s="28"/>
      <c r="H107" s="28"/>
      <c r="I107" s="28"/>
      <c r="J107" s="22"/>
      <c r="K107" s="22"/>
      <c r="L107" s="22"/>
      <c r="M107" s="22"/>
      <c r="N107" s="22"/>
    </row>
    <row r="108" spans="1:14" x14ac:dyDescent="0.25">
      <c r="A108" s="16">
        <v>104</v>
      </c>
      <c r="B108" s="16" t="s">
        <v>474</v>
      </c>
      <c r="C108" s="16" t="s">
        <v>195</v>
      </c>
      <c r="D108" s="16" t="s">
        <v>475</v>
      </c>
      <c r="E108" s="16"/>
      <c r="F108" s="27">
        <f t="shared" si="3"/>
        <v>30000</v>
      </c>
      <c r="G108" s="28">
        <v>10000</v>
      </c>
      <c r="H108" s="28">
        <v>10000</v>
      </c>
      <c r="I108" s="28">
        <v>10000</v>
      </c>
      <c r="J108" s="22"/>
      <c r="K108" s="22"/>
      <c r="L108" s="22"/>
      <c r="M108" s="22"/>
      <c r="N108" s="22"/>
    </row>
    <row r="109" spans="1:14" x14ac:dyDescent="0.25">
      <c r="A109" s="16">
        <v>105</v>
      </c>
      <c r="B109" s="16" t="s">
        <v>476</v>
      </c>
      <c r="C109" s="16" t="s">
        <v>195</v>
      </c>
      <c r="D109" s="16" t="s">
        <v>477</v>
      </c>
      <c r="E109" s="16"/>
      <c r="F109" s="27">
        <f t="shared" si="3"/>
        <v>30000</v>
      </c>
      <c r="G109" s="28">
        <v>10000</v>
      </c>
      <c r="H109" s="28">
        <v>10000</v>
      </c>
      <c r="I109" s="28">
        <v>10000</v>
      </c>
      <c r="J109" s="22"/>
      <c r="K109" s="22"/>
      <c r="L109" s="22"/>
      <c r="M109" s="22"/>
      <c r="N109" s="22"/>
    </row>
    <row r="110" spans="1:14" x14ac:dyDescent="0.25">
      <c r="A110" s="16">
        <v>106</v>
      </c>
      <c r="B110" s="16" t="s">
        <v>341</v>
      </c>
      <c r="C110" s="16" t="s">
        <v>195</v>
      </c>
      <c r="D110" s="16" t="s">
        <v>342</v>
      </c>
      <c r="E110" s="17" t="s">
        <v>343</v>
      </c>
      <c r="F110" s="27">
        <f t="shared" si="3"/>
        <v>0</v>
      </c>
      <c r="G110" s="28"/>
      <c r="H110" s="28"/>
      <c r="I110" s="28"/>
      <c r="J110" s="22"/>
      <c r="K110" s="22"/>
      <c r="L110" s="22"/>
      <c r="M110" s="22"/>
      <c r="N110" s="22"/>
    </row>
    <row r="111" spans="1:14" x14ac:dyDescent="0.25">
      <c r="A111" s="16">
        <v>107</v>
      </c>
      <c r="B111" s="16" t="s">
        <v>345</v>
      </c>
      <c r="C111" s="16" t="s">
        <v>195</v>
      </c>
      <c r="D111" s="16" t="s">
        <v>346</v>
      </c>
      <c r="E111" s="17" t="s">
        <v>347</v>
      </c>
      <c r="F111" s="27">
        <f t="shared" si="3"/>
        <v>0</v>
      </c>
      <c r="G111" s="28"/>
      <c r="H111" s="28"/>
      <c r="I111" s="28"/>
      <c r="J111" s="22"/>
      <c r="K111" s="22"/>
      <c r="L111" s="22"/>
      <c r="M111" s="22"/>
      <c r="N111" s="22"/>
    </row>
    <row r="112" spans="1:14" x14ac:dyDescent="0.25">
      <c r="A112" s="16">
        <v>108</v>
      </c>
      <c r="B112" s="16" t="s">
        <v>456</v>
      </c>
      <c r="C112" s="16" t="s">
        <v>195</v>
      </c>
      <c r="D112" s="16" t="s">
        <v>350</v>
      </c>
      <c r="E112" s="17" t="s">
        <v>351</v>
      </c>
      <c r="F112" s="27">
        <f t="shared" si="3"/>
        <v>0</v>
      </c>
      <c r="G112" s="28"/>
      <c r="H112" s="28"/>
      <c r="I112" s="28"/>
      <c r="J112" s="22"/>
      <c r="K112" s="22"/>
      <c r="L112" s="22"/>
      <c r="M112" s="22"/>
      <c r="N112" s="22"/>
    </row>
    <row r="113" spans="1:14" x14ac:dyDescent="0.25">
      <c r="A113" s="16">
        <v>109</v>
      </c>
      <c r="B113" s="16" t="s">
        <v>481</v>
      </c>
      <c r="C113" s="16" t="s">
        <v>195</v>
      </c>
      <c r="D113" s="16" t="s">
        <v>350</v>
      </c>
      <c r="E113" s="16"/>
      <c r="F113" s="27">
        <f t="shared" si="3"/>
        <v>20000</v>
      </c>
      <c r="G113" s="28">
        <v>10000</v>
      </c>
      <c r="H113" s="28"/>
      <c r="I113" s="28">
        <v>10000</v>
      </c>
      <c r="J113" s="22"/>
      <c r="K113" s="22"/>
      <c r="L113" s="22"/>
      <c r="M113" s="22"/>
      <c r="N113" s="22"/>
    </row>
    <row r="114" spans="1:14" x14ac:dyDescent="0.25">
      <c r="A114" s="16">
        <v>110</v>
      </c>
      <c r="B114" s="16" t="s">
        <v>353</v>
      </c>
      <c r="C114" s="16" t="s">
        <v>195</v>
      </c>
      <c r="D114" s="16" t="s">
        <v>354</v>
      </c>
      <c r="E114" s="17" t="s">
        <v>355</v>
      </c>
      <c r="F114" s="27">
        <f t="shared" si="3"/>
        <v>30000</v>
      </c>
      <c r="G114" s="28">
        <v>10000</v>
      </c>
      <c r="H114" s="28">
        <v>10000</v>
      </c>
      <c r="I114" s="28">
        <v>10000</v>
      </c>
      <c r="J114" s="22"/>
      <c r="K114" s="22"/>
      <c r="L114" s="22"/>
      <c r="M114" s="22"/>
      <c r="N114" s="22"/>
    </row>
    <row r="115" spans="1:14" x14ac:dyDescent="0.25">
      <c r="A115" s="16">
        <v>111</v>
      </c>
      <c r="B115" s="16" t="s">
        <v>357</v>
      </c>
      <c r="C115" s="16" t="s">
        <v>195</v>
      </c>
      <c r="D115" s="16" t="s">
        <v>358</v>
      </c>
      <c r="E115" s="16"/>
      <c r="F115" s="27">
        <f t="shared" si="3"/>
        <v>20000</v>
      </c>
      <c r="G115" s="28"/>
      <c r="H115" s="28">
        <v>10000</v>
      </c>
      <c r="I115" s="28">
        <v>10000</v>
      </c>
      <c r="J115" s="22" t="s">
        <v>530</v>
      </c>
      <c r="K115" s="22"/>
      <c r="L115" s="22"/>
      <c r="M115" s="22"/>
      <c r="N115" s="22"/>
    </row>
    <row r="116" spans="1:14" x14ac:dyDescent="0.25">
      <c r="A116" s="16">
        <v>112</v>
      </c>
      <c r="B116" s="16" t="s">
        <v>360</v>
      </c>
      <c r="C116" s="16" t="s">
        <v>195</v>
      </c>
      <c r="D116" s="16" t="s">
        <v>361</v>
      </c>
      <c r="E116" s="17" t="s">
        <v>362</v>
      </c>
      <c r="F116" s="27">
        <f t="shared" si="3"/>
        <v>20000</v>
      </c>
      <c r="G116" s="28"/>
      <c r="H116" s="28">
        <v>10000</v>
      </c>
      <c r="I116" s="28">
        <v>10000</v>
      </c>
      <c r="J116" s="22"/>
      <c r="K116" s="22"/>
      <c r="L116" s="22"/>
      <c r="M116" s="22"/>
      <c r="N116" s="22"/>
    </row>
    <row r="117" spans="1:14" x14ac:dyDescent="0.25">
      <c r="A117" s="16">
        <v>113</v>
      </c>
      <c r="B117" s="16" t="s">
        <v>364</v>
      </c>
      <c r="C117" s="16" t="s">
        <v>195</v>
      </c>
      <c r="D117" s="16" t="s">
        <v>365</v>
      </c>
      <c r="E117" s="17" t="s">
        <v>366</v>
      </c>
      <c r="F117" s="27">
        <f t="shared" si="3"/>
        <v>0</v>
      </c>
      <c r="G117" s="28"/>
      <c r="H117" s="28"/>
      <c r="I117" s="28"/>
      <c r="J117" s="22"/>
      <c r="K117" s="22"/>
      <c r="L117" s="22"/>
      <c r="M117" s="22"/>
      <c r="N117" s="22"/>
    </row>
    <row r="118" spans="1:14" x14ac:dyDescent="0.25">
      <c r="A118" s="16">
        <v>114</v>
      </c>
      <c r="B118" s="16" t="s">
        <v>536</v>
      </c>
      <c r="C118" s="16" t="s">
        <v>195</v>
      </c>
      <c r="D118" s="16" t="s">
        <v>369</v>
      </c>
      <c r="E118" s="17" t="s">
        <v>370</v>
      </c>
      <c r="F118" s="27">
        <f t="shared" si="3"/>
        <v>30000</v>
      </c>
      <c r="G118" s="28">
        <v>10000</v>
      </c>
      <c r="H118" s="28">
        <v>10000</v>
      </c>
      <c r="I118" s="28">
        <v>10000</v>
      </c>
      <c r="J118" s="22"/>
      <c r="K118" s="22"/>
      <c r="L118" s="22"/>
      <c r="M118" s="22"/>
      <c r="N118" s="22"/>
    </row>
    <row r="119" spans="1:14" x14ac:dyDescent="0.25">
      <c r="A119" s="16">
        <v>115</v>
      </c>
      <c r="B119" s="16" t="s">
        <v>372</v>
      </c>
      <c r="C119" s="16" t="s">
        <v>195</v>
      </c>
      <c r="D119" s="16" t="s">
        <v>373</v>
      </c>
      <c r="E119" s="16"/>
      <c r="F119" s="27">
        <f t="shared" si="3"/>
        <v>10000</v>
      </c>
      <c r="G119" s="28"/>
      <c r="H119" s="28"/>
      <c r="I119" s="28">
        <v>10000</v>
      </c>
      <c r="J119" s="22" t="s">
        <v>533</v>
      </c>
      <c r="K119" s="22"/>
      <c r="L119" s="22"/>
      <c r="M119" s="22"/>
      <c r="N119" s="22"/>
    </row>
    <row r="120" spans="1:14" x14ac:dyDescent="0.25">
      <c r="A120" s="16">
        <v>116</v>
      </c>
      <c r="B120" s="16" t="s">
        <v>375</v>
      </c>
      <c r="C120" s="16" t="s">
        <v>376</v>
      </c>
      <c r="D120" s="16" t="s">
        <v>377</v>
      </c>
      <c r="E120" s="16"/>
      <c r="F120" s="27">
        <f t="shared" si="3"/>
        <v>30000</v>
      </c>
      <c r="G120" s="28">
        <v>10000</v>
      </c>
      <c r="H120" s="28">
        <v>10000</v>
      </c>
      <c r="I120" s="28">
        <v>10000</v>
      </c>
      <c r="J120" s="22"/>
      <c r="K120" s="22"/>
      <c r="L120" s="22"/>
      <c r="M120" s="22"/>
      <c r="N120" s="22"/>
    </row>
    <row r="121" spans="1:14" x14ac:dyDescent="0.25">
      <c r="A121" s="16">
        <v>117</v>
      </c>
      <c r="B121" s="16" t="s">
        <v>379</v>
      </c>
      <c r="C121" s="16" t="s">
        <v>380</v>
      </c>
      <c r="D121" s="16" t="s">
        <v>381</v>
      </c>
      <c r="E121" s="17" t="s">
        <v>382</v>
      </c>
      <c r="F121" s="27">
        <f t="shared" si="3"/>
        <v>30000</v>
      </c>
      <c r="G121" s="28">
        <v>10000</v>
      </c>
      <c r="H121" s="28">
        <v>10000</v>
      </c>
      <c r="I121" s="28">
        <v>10000</v>
      </c>
      <c r="J121" s="22"/>
      <c r="K121" s="22"/>
      <c r="L121" s="22"/>
      <c r="M121" s="22"/>
      <c r="N121" s="22"/>
    </row>
    <row r="122" spans="1:14" x14ac:dyDescent="0.25">
      <c r="A122" s="16">
        <v>118</v>
      </c>
      <c r="B122" s="16" t="s">
        <v>384</v>
      </c>
      <c r="C122" s="16" t="s">
        <v>380</v>
      </c>
      <c r="D122" s="16" t="s">
        <v>385</v>
      </c>
      <c r="E122" s="17" t="s">
        <v>386</v>
      </c>
      <c r="F122" s="27">
        <f t="shared" si="3"/>
        <v>30000</v>
      </c>
      <c r="G122" s="28">
        <v>10000</v>
      </c>
      <c r="H122" s="28">
        <v>10000</v>
      </c>
      <c r="I122" s="28">
        <v>10000</v>
      </c>
      <c r="J122" s="22"/>
      <c r="K122" s="22"/>
      <c r="L122" s="22"/>
      <c r="M122" s="22"/>
      <c r="N122" s="22"/>
    </row>
    <row r="123" spans="1:14" x14ac:dyDescent="0.25">
      <c r="A123" s="16">
        <v>119</v>
      </c>
      <c r="B123" s="16" t="s">
        <v>388</v>
      </c>
      <c r="C123" s="16" t="s">
        <v>380</v>
      </c>
      <c r="D123" s="16" t="s">
        <v>389</v>
      </c>
      <c r="E123" s="17" t="s">
        <v>390</v>
      </c>
      <c r="F123" s="27">
        <f t="shared" si="3"/>
        <v>0</v>
      </c>
      <c r="G123" s="28"/>
      <c r="H123" s="28"/>
      <c r="I123" s="28"/>
      <c r="J123" s="22"/>
      <c r="K123" s="22"/>
      <c r="L123" s="22"/>
      <c r="M123" s="22"/>
      <c r="N123" s="22"/>
    </row>
    <row r="124" spans="1:14" x14ac:dyDescent="0.25">
      <c r="A124" s="16">
        <v>120</v>
      </c>
      <c r="B124" s="16" t="s">
        <v>392</v>
      </c>
      <c r="C124" s="16" t="s">
        <v>380</v>
      </c>
      <c r="D124" s="16" t="s">
        <v>393</v>
      </c>
      <c r="E124" s="17" t="s">
        <v>394</v>
      </c>
      <c r="F124" s="27">
        <f t="shared" si="3"/>
        <v>30000</v>
      </c>
      <c r="G124" s="28">
        <v>10000</v>
      </c>
      <c r="H124" s="28">
        <v>10000</v>
      </c>
      <c r="I124" s="28">
        <v>10000</v>
      </c>
      <c r="J124" s="22"/>
      <c r="K124" s="22"/>
      <c r="L124" s="22"/>
      <c r="M124" s="22"/>
      <c r="N124" s="22"/>
    </row>
    <row r="125" spans="1:14" x14ac:dyDescent="0.25">
      <c r="A125" s="16">
        <v>121</v>
      </c>
      <c r="B125" s="16" t="s">
        <v>396</v>
      </c>
      <c r="C125" s="16" t="s">
        <v>380</v>
      </c>
      <c r="D125" s="16" t="s">
        <v>397</v>
      </c>
      <c r="E125" s="17" t="s">
        <v>398</v>
      </c>
      <c r="F125" s="27">
        <f t="shared" si="3"/>
        <v>0</v>
      </c>
      <c r="G125" s="28"/>
      <c r="H125" s="28"/>
      <c r="I125" s="28"/>
      <c r="J125" s="22"/>
      <c r="K125" s="22"/>
      <c r="L125" s="22"/>
      <c r="M125" s="22"/>
      <c r="N125" s="22"/>
    </row>
    <row r="126" spans="1:14" x14ac:dyDescent="0.25">
      <c r="A126" s="16">
        <v>122</v>
      </c>
      <c r="B126" s="16" t="s">
        <v>400</v>
      </c>
      <c r="C126" s="16" t="s">
        <v>380</v>
      </c>
      <c r="D126" s="16" t="s">
        <v>401</v>
      </c>
      <c r="E126" s="17" t="s">
        <v>402</v>
      </c>
      <c r="F126" s="27">
        <f t="shared" si="3"/>
        <v>30000</v>
      </c>
      <c r="G126" s="28">
        <v>10000</v>
      </c>
      <c r="H126" s="28">
        <v>10000</v>
      </c>
      <c r="I126" s="28">
        <v>10000</v>
      </c>
      <c r="J126" s="22"/>
      <c r="K126" s="22"/>
      <c r="L126" s="22"/>
      <c r="M126" s="22"/>
      <c r="N126" s="22"/>
    </row>
    <row r="127" spans="1:14" x14ac:dyDescent="0.25">
      <c r="A127" s="16">
        <v>123</v>
      </c>
      <c r="B127" s="16" t="s">
        <v>404</v>
      </c>
      <c r="C127" s="16" t="s">
        <v>380</v>
      </c>
      <c r="D127" s="16" t="s">
        <v>405</v>
      </c>
      <c r="E127" s="16"/>
      <c r="F127" s="27">
        <f t="shared" si="3"/>
        <v>30000</v>
      </c>
      <c r="G127" s="28">
        <v>10000</v>
      </c>
      <c r="H127" s="28">
        <v>10000</v>
      </c>
      <c r="I127" s="28">
        <v>10000</v>
      </c>
      <c r="J127" s="22"/>
      <c r="K127" s="22"/>
      <c r="L127" s="22"/>
      <c r="M127" s="22"/>
      <c r="N127" s="22"/>
    </row>
    <row r="128" spans="1:14" x14ac:dyDescent="0.25">
      <c r="A128" s="16">
        <v>124</v>
      </c>
      <c r="B128" s="16" t="s">
        <v>407</v>
      </c>
      <c r="C128" s="16" t="s">
        <v>380</v>
      </c>
      <c r="D128" s="16" t="s">
        <v>408</v>
      </c>
      <c r="E128" s="16"/>
      <c r="F128" s="27">
        <f t="shared" si="3"/>
        <v>30000</v>
      </c>
      <c r="G128" s="28">
        <v>10000</v>
      </c>
      <c r="H128" s="28">
        <v>10000</v>
      </c>
      <c r="I128" s="28">
        <v>10000</v>
      </c>
      <c r="J128" s="22"/>
      <c r="K128" s="22"/>
      <c r="L128" s="22"/>
      <c r="M128" s="22"/>
      <c r="N128" s="22"/>
    </row>
    <row r="129" spans="1:14" x14ac:dyDescent="0.25">
      <c r="A129" s="16">
        <v>125</v>
      </c>
      <c r="B129" s="16" t="s">
        <v>198</v>
      </c>
      <c r="C129" s="16" t="s">
        <v>380</v>
      </c>
      <c r="D129" s="16" t="s">
        <v>410</v>
      </c>
      <c r="E129" s="16"/>
      <c r="F129" s="27">
        <f t="shared" si="3"/>
        <v>30000</v>
      </c>
      <c r="G129" s="28">
        <v>10000</v>
      </c>
      <c r="H129" s="28">
        <v>10000</v>
      </c>
      <c r="I129" s="28">
        <v>10000</v>
      </c>
      <c r="J129" s="22" t="s">
        <v>537</v>
      </c>
      <c r="K129" s="22"/>
      <c r="L129" s="22"/>
      <c r="M129" s="22"/>
      <c r="N129" s="22"/>
    </row>
    <row r="130" spans="1:14" x14ac:dyDescent="0.25">
      <c r="A130" s="16">
        <v>126</v>
      </c>
      <c r="B130" s="16" t="s">
        <v>412</v>
      </c>
      <c r="C130" s="16" t="s">
        <v>413</v>
      </c>
      <c r="D130" s="16" t="s">
        <v>101</v>
      </c>
      <c r="E130" s="17" t="s">
        <v>414</v>
      </c>
      <c r="F130" s="27">
        <f t="shared" si="3"/>
        <v>30000</v>
      </c>
      <c r="G130" s="28">
        <v>10000</v>
      </c>
      <c r="H130" s="28">
        <v>10000</v>
      </c>
      <c r="I130" s="28">
        <v>10000</v>
      </c>
      <c r="J130" s="22"/>
      <c r="K130" s="22"/>
      <c r="L130" s="22"/>
      <c r="M130" s="22"/>
      <c r="N130" s="22"/>
    </row>
    <row r="131" spans="1:14" x14ac:dyDescent="0.25">
      <c r="A131" s="16">
        <v>127</v>
      </c>
      <c r="B131" s="16" t="s">
        <v>416</v>
      </c>
      <c r="C131" s="16" t="s">
        <v>413</v>
      </c>
      <c r="D131" s="16" t="s">
        <v>109</v>
      </c>
      <c r="E131" s="17" t="s">
        <v>417</v>
      </c>
      <c r="F131" s="27">
        <f t="shared" si="3"/>
        <v>0</v>
      </c>
      <c r="G131" s="28">
        <v>0</v>
      </c>
      <c r="H131" s="28"/>
      <c r="I131" s="28"/>
      <c r="J131" s="22"/>
      <c r="K131" s="22"/>
      <c r="L131" s="22"/>
      <c r="M131" s="22"/>
      <c r="N131" s="22"/>
    </row>
    <row r="132" spans="1:14" x14ac:dyDescent="0.25">
      <c r="A132" s="16">
        <v>128</v>
      </c>
      <c r="B132" s="16" t="s">
        <v>419</v>
      </c>
      <c r="C132" s="16" t="s">
        <v>413</v>
      </c>
      <c r="D132" s="16" t="s">
        <v>420</v>
      </c>
      <c r="E132" s="17" t="s">
        <v>421</v>
      </c>
      <c r="F132" s="27">
        <f t="shared" si="3"/>
        <v>30000</v>
      </c>
      <c r="G132" s="28">
        <v>10000</v>
      </c>
      <c r="H132" s="28">
        <v>10000</v>
      </c>
      <c r="I132" s="28">
        <v>10000</v>
      </c>
      <c r="J132" s="22"/>
      <c r="K132" s="22"/>
      <c r="L132" s="22"/>
      <c r="M132" s="22"/>
      <c r="N132" s="22"/>
    </row>
    <row r="133" spans="1:14" x14ac:dyDescent="0.25">
      <c r="A133" s="16">
        <v>129</v>
      </c>
      <c r="B133" s="16" t="s">
        <v>423</v>
      </c>
      <c r="C133" s="16" t="s">
        <v>413</v>
      </c>
      <c r="D133" s="16" t="s">
        <v>420</v>
      </c>
      <c r="E133" s="17" t="s">
        <v>424</v>
      </c>
      <c r="F133" s="27">
        <f t="shared" ref="F133:F164" si="4">SUM(G133:I133)</f>
        <v>30000</v>
      </c>
      <c r="G133" s="28">
        <v>10000</v>
      </c>
      <c r="H133" s="28">
        <v>10000</v>
      </c>
      <c r="I133" s="28">
        <v>10000</v>
      </c>
      <c r="J133" s="22"/>
      <c r="K133" s="22"/>
      <c r="L133" s="22"/>
      <c r="M133" s="22"/>
      <c r="N133" s="22"/>
    </row>
    <row r="134" spans="1:14" x14ac:dyDescent="0.25">
      <c r="A134" s="16">
        <v>130</v>
      </c>
      <c r="B134" s="16" t="s">
        <v>426</v>
      </c>
      <c r="C134" s="16" t="s">
        <v>413</v>
      </c>
      <c r="D134" s="16" t="s">
        <v>246</v>
      </c>
      <c r="E134" s="17" t="s">
        <v>427</v>
      </c>
      <c r="F134" s="27">
        <f t="shared" si="4"/>
        <v>30000</v>
      </c>
      <c r="G134" s="28">
        <v>10000</v>
      </c>
      <c r="H134" s="28">
        <v>10000</v>
      </c>
      <c r="I134" s="28">
        <v>10000</v>
      </c>
      <c r="J134" s="22"/>
      <c r="K134" s="22"/>
      <c r="L134" s="22"/>
      <c r="M134" s="22"/>
      <c r="N134" s="22"/>
    </row>
    <row r="135" spans="1:14" x14ac:dyDescent="0.25">
      <c r="A135" s="16">
        <v>131</v>
      </c>
      <c r="B135" s="16" t="s">
        <v>429</v>
      </c>
      <c r="C135" s="16" t="s">
        <v>413</v>
      </c>
      <c r="D135" s="16" t="s">
        <v>430</v>
      </c>
      <c r="E135" s="17" t="s">
        <v>431</v>
      </c>
      <c r="F135" s="27">
        <f t="shared" si="4"/>
        <v>30000</v>
      </c>
      <c r="G135" s="28">
        <v>10000</v>
      </c>
      <c r="H135" s="28">
        <v>10000</v>
      </c>
      <c r="I135" s="28">
        <v>10000</v>
      </c>
      <c r="J135" s="22"/>
      <c r="K135" s="22"/>
      <c r="L135" s="22"/>
      <c r="M135" s="22"/>
      <c r="N135" s="22"/>
    </row>
    <row r="136" spans="1:14" x14ac:dyDescent="0.25">
      <c r="A136" s="16">
        <v>132</v>
      </c>
      <c r="B136" s="16" t="s">
        <v>433</v>
      </c>
      <c r="C136" s="16" t="s">
        <v>413</v>
      </c>
      <c r="D136" s="16" t="s">
        <v>434</v>
      </c>
      <c r="E136" s="17" t="s">
        <v>435</v>
      </c>
      <c r="F136" s="27">
        <f t="shared" si="4"/>
        <v>30000</v>
      </c>
      <c r="G136" s="28">
        <v>10000</v>
      </c>
      <c r="H136" s="28">
        <v>10000</v>
      </c>
      <c r="I136" s="28">
        <v>10000</v>
      </c>
      <c r="J136" s="22"/>
      <c r="K136" s="22"/>
      <c r="L136" s="22"/>
      <c r="M136" s="22"/>
      <c r="N136" s="22"/>
    </row>
    <row r="137" spans="1:14" x14ac:dyDescent="0.25">
      <c r="A137" s="16">
        <v>133</v>
      </c>
      <c r="B137" s="16" t="s">
        <v>437</v>
      </c>
      <c r="C137" s="16" t="s">
        <v>413</v>
      </c>
      <c r="D137" s="16" t="s">
        <v>306</v>
      </c>
      <c r="E137" s="17" t="s">
        <v>438</v>
      </c>
      <c r="F137" s="27">
        <f t="shared" si="4"/>
        <v>30000</v>
      </c>
      <c r="G137" s="28">
        <v>10000</v>
      </c>
      <c r="H137" s="28">
        <v>10000</v>
      </c>
      <c r="I137" s="28">
        <v>10000</v>
      </c>
      <c r="J137" s="22"/>
      <c r="K137" s="22"/>
      <c r="L137" s="22"/>
      <c r="M137" s="22"/>
      <c r="N137" s="22"/>
    </row>
    <row r="138" spans="1:14" x14ac:dyDescent="0.25">
      <c r="A138" s="16">
        <v>134</v>
      </c>
      <c r="B138" s="16" t="s">
        <v>440</v>
      </c>
      <c r="C138" s="16" t="s">
        <v>413</v>
      </c>
      <c r="D138" s="16" t="s">
        <v>441</v>
      </c>
      <c r="E138" s="17" t="s">
        <v>442</v>
      </c>
      <c r="F138" s="27">
        <f t="shared" si="4"/>
        <v>30000</v>
      </c>
      <c r="G138" s="28">
        <v>10000</v>
      </c>
      <c r="H138" s="28">
        <v>10000</v>
      </c>
      <c r="I138" s="28">
        <v>10000</v>
      </c>
      <c r="J138" s="22"/>
      <c r="K138" s="22"/>
      <c r="L138" s="22"/>
      <c r="M138" s="22"/>
      <c r="N138" s="22"/>
    </row>
    <row r="139" spans="1:14" x14ac:dyDescent="0.25">
      <c r="A139" s="16">
        <v>135</v>
      </c>
      <c r="B139" s="16" t="s">
        <v>444</v>
      </c>
      <c r="C139" s="16" t="s">
        <v>413</v>
      </c>
      <c r="D139" s="16" t="s">
        <v>445</v>
      </c>
      <c r="E139" s="17" t="s">
        <v>446</v>
      </c>
      <c r="F139" s="27">
        <f t="shared" si="4"/>
        <v>30000</v>
      </c>
      <c r="G139" s="28">
        <v>10000</v>
      </c>
      <c r="H139" s="28">
        <v>10000</v>
      </c>
      <c r="I139" s="28">
        <v>10000</v>
      </c>
      <c r="J139" s="22"/>
      <c r="K139" s="22"/>
      <c r="L139" s="22"/>
      <c r="M139" s="22"/>
      <c r="N139" s="22"/>
    </row>
    <row r="140" spans="1:14" x14ac:dyDescent="0.25">
      <c r="A140" s="16">
        <v>136</v>
      </c>
      <c r="B140" s="16" t="s">
        <v>448</v>
      </c>
      <c r="C140" s="16"/>
      <c r="D140" s="16"/>
      <c r="E140" s="17" t="s">
        <v>449</v>
      </c>
      <c r="F140" s="27">
        <f t="shared" si="4"/>
        <v>0</v>
      </c>
      <c r="G140" s="28"/>
      <c r="H140" s="28"/>
      <c r="I140" s="28"/>
      <c r="J140" s="22"/>
      <c r="K140" s="22"/>
      <c r="L140" s="22"/>
      <c r="M140" s="22"/>
      <c r="N140" s="22"/>
    </row>
    <row r="141" spans="1:14" x14ac:dyDescent="0.25">
      <c r="A141" s="16">
        <v>137</v>
      </c>
      <c r="B141" s="16" t="s">
        <v>451</v>
      </c>
      <c r="C141" s="16"/>
      <c r="D141" s="16"/>
      <c r="E141" s="17" t="s">
        <v>452</v>
      </c>
      <c r="F141" s="27">
        <f t="shared" si="4"/>
        <v>0</v>
      </c>
      <c r="G141" s="28"/>
      <c r="H141" s="28"/>
      <c r="I141" s="28"/>
      <c r="J141" s="22"/>
      <c r="K141" s="22"/>
      <c r="L141" s="22"/>
      <c r="M141" s="22"/>
      <c r="N141" s="22"/>
    </row>
    <row r="142" spans="1:14" x14ac:dyDescent="0.25">
      <c r="A142" s="16">
        <v>138</v>
      </c>
      <c r="B142" s="16" t="s">
        <v>538</v>
      </c>
      <c r="C142" s="16"/>
      <c r="D142" s="16"/>
      <c r="E142" s="16"/>
      <c r="F142" s="27">
        <f t="shared" si="4"/>
        <v>0</v>
      </c>
      <c r="G142" s="28"/>
      <c r="H142" s="28"/>
      <c r="I142" s="28"/>
      <c r="J142" s="22"/>
      <c r="K142" s="22"/>
      <c r="L142" s="22"/>
      <c r="M142" s="22"/>
      <c r="N142" s="22"/>
    </row>
    <row r="143" spans="1:14" x14ac:dyDescent="0.25">
      <c r="A143" s="16">
        <f t="shared" ref="A143:A179" si="5">A142+1</f>
        <v>139</v>
      </c>
      <c r="B143" s="16"/>
      <c r="C143" s="16"/>
      <c r="D143" s="16"/>
      <c r="E143" s="16"/>
      <c r="F143" s="27">
        <f t="shared" si="4"/>
        <v>0</v>
      </c>
      <c r="G143" s="28"/>
      <c r="H143" s="28"/>
      <c r="I143" s="28"/>
      <c r="J143" s="22"/>
      <c r="K143" s="22"/>
      <c r="L143" s="22"/>
      <c r="M143" s="22"/>
      <c r="N143" s="22"/>
    </row>
    <row r="144" spans="1:14" x14ac:dyDescent="0.25">
      <c r="A144" s="16">
        <f t="shared" si="5"/>
        <v>140</v>
      </c>
      <c r="B144" s="16"/>
      <c r="C144" s="16"/>
      <c r="D144" s="16"/>
      <c r="E144" s="16"/>
      <c r="F144" s="27">
        <f t="shared" si="4"/>
        <v>0</v>
      </c>
      <c r="G144" s="28"/>
      <c r="H144" s="28"/>
      <c r="I144" s="28"/>
      <c r="J144" s="22"/>
      <c r="K144" s="22"/>
      <c r="L144" s="22"/>
      <c r="M144" s="22"/>
      <c r="N144" s="22"/>
    </row>
    <row r="145" spans="1:14" x14ac:dyDescent="0.25">
      <c r="A145" s="16">
        <f t="shared" si="5"/>
        <v>141</v>
      </c>
      <c r="B145" s="16"/>
      <c r="C145" s="16"/>
      <c r="D145" s="16"/>
      <c r="E145" s="16"/>
      <c r="F145" s="27">
        <f t="shared" si="4"/>
        <v>0</v>
      </c>
      <c r="G145" s="28"/>
      <c r="H145" s="28"/>
      <c r="I145" s="28"/>
      <c r="J145" s="22"/>
      <c r="K145" s="22"/>
      <c r="L145" s="22"/>
      <c r="M145" s="22"/>
      <c r="N145" s="22"/>
    </row>
    <row r="146" spans="1:14" x14ac:dyDescent="0.25">
      <c r="A146" s="16">
        <f t="shared" si="5"/>
        <v>142</v>
      </c>
      <c r="B146" s="16"/>
      <c r="C146" s="16"/>
      <c r="D146" s="16"/>
      <c r="E146" s="16"/>
      <c r="F146" s="27">
        <f t="shared" si="4"/>
        <v>0</v>
      </c>
      <c r="G146" s="28"/>
      <c r="H146" s="28"/>
      <c r="I146" s="28"/>
      <c r="J146" s="22"/>
      <c r="K146" s="22"/>
      <c r="L146" s="22"/>
      <c r="M146" s="22"/>
      <c r="N146" s="22"/>
    </row>
    <row r="147" spans="1:14" x14ac:dyDescent="0.25">
      <c r="A147" s="16">
        <f t="shared" si="5"/>
        <v>143</v>
      </c>
      <c r="B147" s="16"/>
      <c r="C147" s="16"/>
      <c r="D147" s="16"/>
      <c r="E147" s="16"/>
      <c r="F147" s="27">
        <f t="shared" si="4"/>
        <v>0</v>
      </c>
      <c r="G147" s="28"/>
      <c r="H147" s="28"/>
      <c r="I147" s="28"/>
      <c r="J147" s="22"/>
      <c r="K147" s="22"/>
      <c r="L147" s="22"/>
      <c r="M147" s="22"/>
      <c r="N147" s="22"/>
    </row>
    <row r="148" spans="1:14" x14ac:dyDescent="0.25">
      <c r="A148" s="16">
        <f t="shared" si="5"/>
        <v>144</v>
      </c>
      <c r="B148" s="16"/>
      <c r="C148" s="16"/>
      <c r="D148" s="16"/>
      <c r="E148" s="16"/>
      <c r="F148" s="27">
        <f t="shared" si="4"/>
        <v>0</v>
      </c>
      <c r="G148" s="28"/>
      <c r="H148" s="28"/>
      <c r="I148" s="28"/>
      <c r="J148" s="22"/>
      <c r="K148" s="22"/>
      <c r="L148" s="22"/>
      <c r="M148" s="22"/>
      <c r="N148" s="22"/>
    </row>
    <row r="149" spans="1:14" x14ac:dyDescent="0.25">
      <c r="A149" s="16">
        <f t="shared" si="5"/>
        <v>145</v>
      </c>
      <c r="B149" s="16"/>
      <c r="C149" s="16"/>
      <c r="D149" s="16"/>
      <c r="E149" s="16"/>
      <c r="F149" s="27">
        <f t="shared" si="4"/>
        <v>0</v>
      </c>
      <c r="G149" s="28"/>
      <c r="H149" s="28"/>
      <c r="I149" s="28"/>
      <c r="J149" s="22"/>
      <c r="K149" s="22"/>
      <c r="L149" s="22"/>
      <c r="M149" s="22"/>
      <c r="N149" s="22"/>
    </row>
    <row r="150" spans="1:14" x14ac:dyDescent="0.25">
      <c r="A150" s="16">
        <f t="shared" si="5"/>
        <v>146</v>
      </c>
      <c r="B150" s="16"/>
      <c r="C150" s="16"/>
      <c r="D150" s="16"/>
      <c r="E150" s="16"/>
      <c r="F150" s="27">
        <f t="shared" si="4"/>
        <v>0</v>
      </c>
      <c r="G150" s="28"/>
      <c r="H150" s="28"/>
      <c r="I150" s="28"/>
      <c r="J150" s="22"/>
      <c r="K150" s="22"/>
      <c r="L150" s="22"/>
      <c r="M150" s="22"/>
      <c r="N150" s="22"/>
    </row>
    <row r="151" spans="1:14" x14ac:dyDescent="0.25">
      <c r="A151" s="16">
        <f t="shared" si="5"/>
        <v>147</v>
      </c>
      <c r="B151" s="16"/>
      <c r="C151" s="16"/>
      <c r="D151" s="16"/>
      <c r="E151" s="16"/>
      <c r="F151" s="27">
        <f t="shared" si="4"/>
        <v>0</v>
      </c>
      <c r="G151" s="28"/>
      <c r="H151" s="28"/>
      <c r="I151" s="28"/>
      <c r="J151" s="22"/>
      <c r="K151" s="22"/>
      <c r="L151" s="22"/>
      <c r="M151" s="22"/>
      <c r="N151" s="22"/>
    </row>
    <row r="152" spans="1:14" x14ac:dyDescent="0.25">
      <c r="A152" s="16">
        <f t="shared" si="5"/>
        <v>148</v>
      </c>
      <c r="B152" s="16"/>
      <c r="C152" s="16"/>
      <c r="D152" s="16"/>
      <c r="E152" s="16"/>
      <c r="F152" s="27">
        <f t="shared" si="4"/>
        <v>0</v>
      </c>
      <c r="G152" s="28"/>
      <c r="H152" s="28"/>
      <c r="I152" s="28"/>
      <c r="J152" s="22"/>
      <c r="K152" s="22"/>
      <c r="L152" s="22"/>
      <c r="M152" s="22"/>
      <c r="N152" s="22"/>
    </row>
    <row r="153" spans="1:14" x14ac:dyDescent="0.25">
      <c r="A153" s="16">
        <f t="shared" si="5"/>
        <v>149</v>
      </c>
      <c r="B153" s="16"/>
      <c r="C153" s="16"/>
      <c r="D153" s="16"/>
      <c r="E153" s="16"/>
      <c r="F153" s="27">
        <f t="shared" si="4"/>
        <v>0</v>
      </c>
      <c r="G153" s="28"/>
      <c r="H153" s="28"/>
      <c r="I153" s="28"/>
      <c r="J153" s="22"/>
      <c r="K153" s="22"/>
      <c r="L153" s="22"/>
      <c r="M153" s="22"/>
      <c r="N153" s="22"/>
    </row>
    <row r="154" spans="1:14" x14ac:dyDescent="0.25">
      <c r="A154" s="16">
        <f t="shared" si="5"/>
        <v>150</v>
      </c>
      <c r="B154" s="16"/>
      <c r="C154" s="16"/>
      <c r="D154" s="16"/>
      <c r="E154" s="16"/>
      <c r="F154" s="27">
        <f t="shared" si="4"/>
        <v>0</v>
      </c>
      <c r="G154" s="28"/>
      <c r="H154" s="28"/>
      <c r="I154" s="28"/>
      <c r="J154" s="22"/>
      <c r="K154" s="22"/>
      <c r="L154" s="22"/>
      <c r="M154" s="22"/>
      <c r="N154" s="22"/>
    </row>
    <row r="155" spans="1:14" x14ac:dyDescent="0.25">
      <c r="A155" s="16">
        <f t="shared" si="5"/>
        <v>151</v>
      </c>
      <c r="B155" s="16"/>
      <c r="C155" s="16"/>
      <c r="D155" s="16"/>
      <c r="E155" s="16"/>
      <c r="F155" s="27">
        <f t="shared" si="4"/>
        <v>0</v>
      </c>
      <c r="G155" s="28"/>
      <c r="H155" s="28"/>
      <c r="I155" s="28"/>
      <c r="J155" s="22"/>
      <c r="K155" s="22"/>
      <c r="L155" s="22"/>
      <c r="M155" s="22"/>
      <c r="N155" s="22"/>
    </row>
    <row r="156" spans="1:14" x14ac:dyDescent="0.25">
      <c r="A156" s="16">
        <f t="shared" si="5"/>
        <v>152</v>
      </c>
      <c r="B156" s="16"/>
      <c r="C156" s="16"/>
      <c r="D156" s="16"/>
      <c r="E156" s="16"/>
      <c r="F156" s="27">
        <f t="shared" si="4"/>
        <v>0</v>
      </c>
      <c r="G156" s="28"/>
      <c r="H156" s="28"/>
      <c r="I156" s="28"/>
      <c r="J156" s="22"/>
      <c r="K156" s="22"/>
      <c r="L156" s="22"/>
      <c r="M156" s="22"/>
      <c r="N156" s="22"/>
    </row>
    <row r="157" spans="1:14" x14ac:dyDescent="0.25">
      <c r="A157" s="16">
        <f t="shared" si="5"/>
        <v>153</v>
      </c>
      <c r="B157" s="16"/>
      <c r="C157" s="16"/>
      <c r="D157" s="16"/>
      <c r="E157" s="16"/>
      <c r="F157" s="27">
        <f t="shared" si="4"/>
        <v>0</v>
      </c>
      <c r="G157" s="28"/>
      <c r="H157" s="28"/>
      <c r="I157" s="28"/>
      <c r="J157" s="22"/>
      <c r="K157" s="22"/>
      <c r="L157" s="22"/>
      <c r="M157" s="22"/>
      <c r="N157" s="22"/>
    </row>
    <row r="158" spans="1:14" x14ac:dyDescent="0.25">
      <c r="A158" s="16">
        <f t="shared" si="5"/>
        <v>154</v>
      </c>
      <c r="B158" s="16"/>
      <c r="C158" s="16"/>
      <c r="D158" s="16"/>
      <c r="E158" s="16"/>
      <c r="F158" s="27">
        <f t="shared" si="4"/>
        <v>0</v>
      </c>
      <c r="G158" s="28"/>
      <c r="H158" s="28"/>
      <c r="I158" s="28"/>
      <c r="J158" s="22"/>
      <c r="K158" s="22"/>
      <c r="L158" s="22"/>
      <c r="M158" s="22"/>
      <c r="N158" s="22"/>
    </row>
    <row r="159" spans="1:14" x14ac:dyDescent="0.25">
      <c r="A159" s="16">
        <f t="shared" si="5"/>
        <v>155</v>
      </c>
      <c r="B159" s="16"/>
      <c r="C159" s="16"/>
      <c r="D159" s="16"/>
      <c r="E159" s="16"/>
      <c r="F159" s="27">
        <f t="shared" si="4"/>
        <v>0</v>
      </c>
      <c r="G159" s="28"/>
      <c r="H159" s="28"/>
      <c r="I159" s="28"/>
      <c r="J159" s="22"/>
      <c r="K159" s="22"/>
      <c r="L159" s="22"/>
      <c r="M159" s="22"/>
      <c r="N159" s="22"/>
    </row>
    <row r="160" spans="1:14" x14ac:dyDescent="0.25">
      <c r="A160" s="16">
        <f t="shared" si="5"/>
        <v>156</v>
      </c>
      <c r="B160" s="16"/>
      <c r="C160" s="16"/>
      <c r="D160" s="16"/>
      <c r="E160" s="16"/>
      <c r="F160" s="27">
        <f t="shared" si="4"/>
        <v>0</v>
      </c>
      <c r="G160" s="28"/>
      <c r="H160" s="28"/>
      <c r="I160" s="28"/>
      <c r="J160" s="22"/>
      <c r="K160" s="22"/>
      <c r="L160" s="22"/>
      <c r="M160" s="22"/>
      <c r="N160" s="22"/>
    </row>
    <row r="161" spans="1:14" x14ac:dyDescent="0.25">
      <c r="A161" s="16">
        <f t="shared" si="5"/>
        <v>157</v>
      </c>
      <c r="B161" s="16"/>
      <c r="C161" s="16"/>
      <c r="D161" s="16"/>
      <c r="E161" s="16"/>
      <c r="F161" s="27">
        <f t="shared" si="4"/>
        <v>0</v>
      </c>
      <c r="G161" s="28"/>
      <c r="H161" s="28"/>
      <c r="I161" s="28"/>
      <c r="J161" s="22"/>
      <c r="K161" s="22"/>
      <c r="L161" s="22"/>
      <c r="M161" s="22"/>
      <c r="N161" s="22"/>
    </row>
    <row r="162" spans="1:14" x14ac:dyDescent="0.25">
      <c r="A162" s="16">
        <f t="shared" si="5"/>
        <v>158</v>
      </c>
      <c r="B162" s="16"/>
      <c r="C162" s="16"/>
      <c r="D162" s="16"/>
      <c r="E162" s="16"/>
      <c r="F162" s="27">
        <f t="shared" si="4"/>
        <v>0</v>
      </c>
      <c r="G162" s="28"/>
      <c r="H162" s="28"/>
      <c r="I162" s="28"/>
      <c r="J162" s="22"/>
      <c r="K162" s="22"/>
      <c r="L162" s="22"/>
      <c r="M162" s="22"/>
      <c r="N162" s="22"/>
    </row>
    <row r="163" spans="1:14" x14ac:dyDescent="0.25">
      <c r="A163" s="16">
        <f t="shared" si="5"/>
        <v>159</v>
      </c>
      <c r="B163" s="16"/>
      <c r="C163" s="16"/>
      <c r="D163" s="16"/>
      <c r="E163" s="16"/>
      <c r="F163" s="27">
        <f t="shared" si="4"/>
        <v>0</v>
      </c>
      <c r="G163" s="28"/>
      <c r="H163" s="28"/>
      <c r="I163" s="28"/>
      <c r="J163" s="22"/>
      <c r="K163" s="22"/>
      <c r="L163" s="22"/>
      <c r="M163" s="22"/>
      <c r="N163" s="22"/>
    </row>
    <row r="164" spans="1:14" x14ac:dyDescent="0.25">
      <c r="A164" s="16">
        <f t="shared" si="5"/>
        <v>160</v>
      </c>
      <c r="B164" s="16"/>
      <c r="C164" s="16"/>
      <c r="D164" s="16"/>
      <c r="E164" s="16"/>
      <c r="F164" s="27">
        <f t="shared" si="4"/>
        <v>0</v>
      </c>
      <c r="G164" s="28"/>
      <c r="H164" s="28"/>
      <c r="I164" s="28"/>
      <c r="J164" s="22"/>
      <c r="K164" s="22"/>
      <c r="L164" s="22"/>
      <c r="M164" s="22"/>
      <c r="N164" s="22"/>
    </row>
    <row r="165" spans="1:14" x14ac:dyDescent="0.25">
      <c r="A165" s="16">
        <f t="shared" si="5"/>
        <v>161</v>
      </c>
      <c r="B165" s="16"/>
      <c r="C165" s="16"/>
      <c r="D165" s="16"/>
      <c r="E165" s="16"/>
      <c r="F165" s="27">
        <f t="shared" ref="F165:F179" si="6">SUM(G165:I165)</f>
        <v>0</v>
      </c>
      <c r="G165" s="28"/>
      <c r="H165" s="28"/>
      <c r="I165" s="28"/>
      <c r="J165" s="22"/>
      <c r="K165" s="22"/>
      <c r="L165" s="22"/>
      <c r="M165" s="22"/>
      <c r="N165" s="22"/>
    </row>
    <row r="166" spans="1:14" x14ac:dyDescent="0.25">
      <c r="A166" s="16">
        <f t="shared" si="5"/>
        <v>162</v>
      </c>
      <c r="B166" s="16"/>
      <c r="C166" s="16"/>
      <c r="D166" s="16"/>
      <c r="E166" s="16"/>
      <c r="F166" s="27">
        <f t="shared" si="6"/>
        <v>0</v>
      </c>
      <c r="G166" s="28"/>
      <c r="H166" s="28"/>
      <c r="I166" s="28"/>
      <c r="J166" s="22"/>
      <c r="K166" s="22"/>
      <c r="L166" s="22"/>
      <c r="M166" s="22"/>
      <c r="N166" s="22"/>
    </row>
    <row r="167" spans="1:14" x14ac:dyDescent="0.25">
      <c r="A167" s="16">
        <f t="shared" si="5"/>
        <v>163</v>
      </c>
      <c r="B167" s="16"/>
      <c r="C167" s="16"/>
      <c r="D167" s="16"/>
      <c r="E167" s="16"/>
      <c r="F167" s="27">
        <f t="shared" si="6"/>
        <v>0</v>
      </c>
      <c r="G167" s="28"/>
      <c r="H167" s="28"/>
      <c r="I167" s="28"/>
      <c r="J167" s="22"/>
      <c r="K167" s="22"/>
      <c r="L167" s="22"/>
      <c r="M167" s="22"/>
      <c r="N167" s="22"/>
    </row>
    <row r="168" spans="1:14" x14ac:dyDescent="0.25">
      <c r="A168" s="16">
        <f t="shared" si="5"/>
        <v>164</v>
      </c>
      <c r="B168" s="16"/>
      <c r="C168" s="16"/>
      <c r="D168" s="16"/>
      <c r="E168" s="16"/>
      <c r="F168" s="27">
        <f t="shared" si="6"/>
        <v>0</v>
      </c>
      <c r="G168" s="28"/>
      <c r="H168" s="28"/>
      <c r="I168" s="28"/>
      <c r="J168" s="22"/>
      <c r="K168" s="22"/>
      <c r="L168" s="22"/>
      <c r="M168" s="22"/>
      <c r="N168" s="22"/>
    </row>
    <row r="169" spans="1:14" x14ac:dyDescent="0.25">
      <c r="A169" s="16">
        <f t="shared" si="5"/>
        <v>165</v>
      </c>
      <c r="B169" s="16"/>
      <c r="C169" s="16"/>
      <c r="D169" s="16"/>
      <c r="E169" s="16"/>
      <c r="F169" s="27">
        <f t="shared" si="6"/>
        <v>0</v>
      </c>
      <c r="G169" s="28"/>
      <c r="H169" s="28"/>
      <c r="I169" s="28"/>
      <c r="J169" s="22"/>
      <c r="K169" s="22"/>
      <c r="L169" s="22"/>
      <c r="M169" s="22"/>
      <c r="N169" s="22"/>
    </row>
    <row r="170" spans="1:14" x14ac:dyDescent="0.25">
      <c r="A170" s="16">
        <f t="shared" si="5"/>
        <v>166</v>
      </c>
      <c r="B170" s="16"/>
      <c r="C170" s="16"/>
      <c r="D170" s="16"/>
      <c r="E170" s="16"/>
      <c r="F170" s="27">
        <f t="shared" si="6"/>
        <v>0</v>
      </c>
      <c r="G170" s="28"/>
      <c r="H170" s="28"/>
      <c r="I170" s="28"/>
      <c r="J170" s="22"/>
      <c r="K170" s="22"/>
      <c r="L170" s="22"/>
      <c r="M170" s="22"/>
      <c r="N170" s="22"/>
    </row>
    <row r="171" spans="1:14" x14ac:dyDescent="0.25">
      <c r="A171" s="16">
        <f t="shared" si="5"/>
        <v>167</v>
      </c>
      <c r="B171" s="16"/>
      <c r="C171" s="16"/>
      <c r="D171" s="16"/>
      <c r="E171" s="16"/>
      <c r="F171" s="27">
        <f t="shared" si="6"/>
        <v>0</v>
      </c>
      <c r="G171" s="28"/>
      <c r="H171" s="28"/>
      <c r="I171" s="28"/>
      <c r="J171" s="22"/>
      <c r="K171" s="22"/>
      <c r="L171" s="22"/>
      <c r="M171" s="22"/>
      <c r="N171" s="22"/>
    </row>
    <row r="172" spans="1:14" x14ac:dyDescent="0.25">
      <c r="A172" s="16">
        <f t="shared" si="5"/>
        <v>168</v>
      </c>
      <c r="B172" s="16"/>
      <c r="C172" s="16"/>
      <c r="D172" s="16"/>
      <c r="E172" s="16"/>
      <c r="F172" s="27">
        <f t="shared" si="6"/>
        <v>0</v>
      </c>
      <c r="G172" s="28"/>
      <c r="H172" s="28"/>
      <c r="I172" s="28"/>
      <c r="J172" s="22"/>
      <c r="K172" s="22"/>
      <c r="L172" s="22"/>
      <c r="M172" s="22"/>
      <c r="N172" s="22"/>
    </row>
    <row r="173" spans="1:14" x14ac:dyDescent="0.25">
      <c r="A173" s="16">
        <f t="shared" si="5"/>
        <v>169</v>
      </c>
      <c r="B173" s="16"/>
      <c r="C173" s="16"/>
      <c r="D173" s="16"/>
      <c r="E173" s="16"/>
      <c r="F173" s="27">
        <f t="shared" si="6"/>
        <v>0</v>
      </c>
      <c r="G173" s="28"/>
      <c r="H173" s="28"/>
      <c r="I173" s="28"/>
      <c r="J173" s="22"/>
      <c r="K173" s="22"/>
      <c r="L173" s="22"/>
      <c r="M173" s="22"/>
      <c r="N173" s="22"/>
    </row>
    <row r="174" spans="1:14" x14ac:dyDescent="0.25">
      <c r="A174" s="16">
        <f t="shared" si="5"/>
        <v>170</v>
      </c>
      <c r="B174" s="16"/>
      <c r="C174" s="16"/>
      <c r="D174" s="16"/>
      <c r="E174" s="16"/>
      <c r="F174" s="27">
        <f t="shared" si="6"/>
        <v>0</v>
      </c>
      <c r="G174" s="28"/>
      <c r="H174" s="28"/>
      <c r="I174" s="28"/>
      <c r="J174" s="22"/>
      <c r="K174" s="22"/>
      <c r="L174" s="22"/>
      <c r="M174" s="22"/>
      <c r="N174" s="22"/>
    </row>
    <row r="175" spans="1:14" x14ac:dyDescent="0.25">
      <c r="A175" s="16">
        <f t="shared" si="5"/>
        <v>171</v>
      </c>
      <c r="B175" s="16"/>
      <c r="C175" s="16"/>
      <c r="D175" s="16"/>
      <c r="E175" s="16"/>
      <c r="F175" s="27">
        <f t="shared" si="6"/>
        <v>0</v>
      </c>
      <c r="G175" s="28"/>
      <c r="H175" s="28"/>
      <c r="I175" s="28"/>
      <c r="J175" s="22"/>
      <c r="K175" s="22"/>
      <c r="L175" s="22"/>
      <c r="M175" s="22"/>
      <c r="N175" s="22"/>
    </row>
    <row r="176" spans="1:14" x14ac:dyDescent="0.25">
      <c r="A176" s="16">
        <f t="shared" si="5"/>
        <v>172</v>
      </c>
      <c r="B176" s="16"/>
      <c r="C176" s="16"/>
      <c r="D176" s="16"/>
      <c r="E176" s="16"/>
      <c r="F176" s="27">
        <f t="shared" si="6"/>
        <v>0</v>
      </c>
      <c r="G176" s="28"/>
      <c r="H176" s="28"/>
      <c r="I176" s="28"/>
      <c r="J176" s="22"/>
      <c r="K176" s="22"/>
      <c r="L176" s="22"/>
      <c r="M176" s="22"/>
      <c r="N176" s="22"/>
    </row>
    <row r="177" spans="1:14" x14ac:dyDescent="0.25">
      <c r="A177" s="16">
        <f t="shared" si="5"/>
        <v>173</v>
      </c>
      <c r="B177" s="16"/>
      <c r="C177" s="16"/>
      <c r="D177" s="16"/>
      <c r="E177" s="16"/>
      <c r="F177" s="27">
        <f t="shared" si="6"/>
        <v>0</v>
      </c>
      <c r="G177" s="28"/>
      <c r="H177" s="28"/>
      <c r="I177" s="28"/>
      <c r="J177" s="22"/>
      <c r="K177" s="22"/>
      <c r="L177" s="22"/>
      <c r="M177" s="22"/>
      <c r="N177" s="22"/>
    </row>
    <row r="178" spans="1:14" x14ac:dyDescent="0.25">
      <c r="A178" s="16">
        <f t="shared" si="5"/>
        <v>174</v>
      </c>
      <c r="B178" s="16"/>
      <c r="C178" s="16"/>
      <c r="D178" s="16"/>
      <c r="E178" s="16"/>
      <c r="F178" s="27">
        <f t="shared" si="6"/>
        <v>0</v>
      </c>
      <c r="G178" s="28"/>
      <c r="H178" s="28"/>
      <c r="I178" s="28"/>
      <c r="J178" s="22"/>
      <c r="K178" s="22"/>
      <c r="L178" s="22"/>
      <c r="M178" s="22"/>
      <c r="N178" s="22"/>
    </row>
    <row r="179" spans="1:14" x14ac:dyDescent="0.25">
      <c r="A179" s="16">
        <f t="shared" si="5"/>
        <v>175</v>
      </c>
      <c r="B179" s="16"/>
      <c r="C179" s="16"/>
      <c r="D179" s="16"/>
      <c r="E179" s="16"/>
      <c r="F179" s="27">
        <f t="shared" si="6"/>
        <v>0</v>
      </c>
      <c r="G179" s="28"/>
      <c r="H179" s="28"/>
      <c r="I179" s="28"/>
      <c r="J179" s="22"/>
      <c r="K179" s="22"/>
      <c r="L179" s="22"/>
      <c r="M179" s="22"/>
      <c r="N179" s="22"/>
    </row>
    <row r="180" spans="1:14" x14ac:dyDescent="0.25">
      <c r="G180" s="22">
        <f>SUM(G5:G179)</f>
        <v>860000</v>
      </c>
      <c r="H180" s="22">
        <f>SUM(H5:H179)</f>
        <v>890000</v>
      </c>
      <c r="I180" s="22">
        <f>SUM(I5:I179)</f>
        <v>940000</v>
      </c>
      <c r="J180" s="22"/>
      <c r="K180" s="22"/>
      <c r="L180" s="22"/>
      <c r="M180" s="22"/>
      <c r="N180" s="22"/>
    </row>
    <row r="181" spans="1:14" x14ac:dyDescent="0.25">
      <c r="H181" s="22"/>
      <c r="I181" s="22"/>
      <c r="J181" s="22"/>
      <c r="K181" s="22"/>
      <c r="L181" s="22"/>
      <c r="M181" s="22"/>
      <c r="N181" s="22"/>
    </row>
    <row r="182" spans="1:14" x14ac:dyDescent="0.25">
      <c r="H182" s="22"/>
      <c r="I182" s="22"/>
      <c r="J182" s="22"/>
      <c r="K182" s="22"/>
      <c r="L182" s="22"/>
      <c r="M182" s="22"/>
      <c r="N182" s="22"/>
    </row>
    <row r="183" spans="1:14" x14ac:dyDescent="0.25">
      <c r="H183" s="22"/>
      <c r="I183" s="22"/>
      <c r="J183" s="22"/>
      <c r="K183" s="22"/>
      <c r="L183" s="22"/>
      <c r="M183" s="22"/>
      <c r="N183" s="22"/>
    </row>
    <row r="184" spans="1:14" x14ac:dyDescent="0.25">
      <c r="H184" s="22"/>
      <c r="I184" s="22"/>
      <c r="J184" s="22"/>
      <c r="K184" s="22"/>
      <c r="L184" s="22"/>
      <c r="M184" s="22"/>
      <c r="N184" s="22"/>
    </row>
  </sheetData>
  <autoFilter ref="A4:N180">
    <sortState ref="A5:N180">
      <sortCondition ref="D4:D180"/>
    </sortState>
  </autoFilter>
  <conditionalFormatting sqref="F5:F179">
    <cfRule type="cellIs" dxfId="0" priority="1" operator="greaterThanOrEqual">
      <formula>500000</formula>
    </cfRule>
  </conditionalFormatting>
  <pageMargins left="0.7" right="0.7" top="0.75" bottom="0.75" header="0.3" footer="0.3"/>
  <pageSetup paperSize="9" scale="7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04"/>
  <sheetViews>
    <sheetView tabSelected="1" topLeftCell="A28" zoomScaleNormal="100" workbookViewId="0">
      <selection activeCell="G41" sqref="G41"/>
    </sheetView>
  </sheetViews>
  <sheetFormatPr defaultRowHeight="15" x14ac:dyDescent="0.25"/>
  <cols>
    <col min="1" max="1" width="9.140625" style="47"/>
    <col min="2" max="2" width="11.28515625" style="47" bestFit="1" customWidth="1"/>
    <col min="3" max="3" width="21.140625" style="47" bestFit="1" customWidth="1"/>
    <col min="4" max="4" width="10.85546875" style="47" customWidth="1"/>
    <col min="5" max="5" width="10.140625" style="47" bestFit="1" customWidth="1"/>
    <col min="6" max="6" width="14.140625" style="50" customWidth="1"/>
    <col min="7" max="7" width="14.5703125" style="50" bestFit="1" customWidth="1"/>
    <col min="8" max="8" width="11.5703125" style="47" customWidth="1"/>
    <col min="9" max="9" width="11.5703125" style="50" customWidth="1"/>
    <col min="10" max="10" width="11.5703125" style="47" customWidth="1"/>
    <col min="11" max="11" width="11.5703125" style="50" customWidth="1"/>
    <col min="12" max="12" width="11.5703125" style="47" customWidth="1"/>
    <col min="13" max="13" width="11.5703125" style="50" customWidth="1"/>
    <col min="14" max="14" width="11.5703125" style="47" customWidth="1"/>
    <col min="15" max="15" width="11.5703125" style="50" customWidth="1"/>
    <col min="16" max="16" width="11.5703125" style="47" customWidth="1"/>
    <col min="17" max="17" width="11.5703125" style="50" customWidth="1"/>
    <col min="18" max="18" width="11.5703125" style="47" customWidth="1"/>
    <col min="19" max="19" width="11.5703125" style="50" customWidth="1"/>
    <col min="20" max="20" width="11.5703125" style="47" customWidth="1"/>
    <col min="21" max="21" width="11.5703125" style="50" customWidth="1"/>
    <col min="22" max="22" width="11.5703125" style="47" customWidth="1"/>
    <col min="23" max="23" width="11.5703125" style="50" customWidth="1"/>
    <col min="24" max="24" width="11.5703125" style="47" customWidth="1"/>
    <col min="25" max="25" width="11.5703125" style="50" customWidth="1"/>
    <col min="26" max="26" width="11.5703125" style="47" customWidth="1"/>
    <col min="27" max="27" width="11.5703125" style="50" customWidth="1"/>
    <col min="28" max="28" width="11.5703125" style="47" customWidth="1"/>
    <col min="29" max="29" width="11.5703125" style="50" customWidth="1"/>
    <col min="30" max="31" width="11.5703125" style="47" customWidth="1"/>
    <col min="32" max="16384" width="9.140625" style="47"/>
  </cols>
  <sheetData>
    <row r="2" spans="1:30" x14ac:dyDescent="0.25">
      <c r="G2" s="51" t="s">
        <v>554</v>
      </c>
      <c r="H2" s="51"/>
      <c r="I2" s="51"/>
      <c r="J2" s="51"/>
      <c r="K2" s="51"/>
      <c r="L2" s="51"/>
      <c r="M2" s="51"/>
      <c r="N2" s="51"/>
      <c r="O2" s="52"/>
      <c r="P2" s="51"/>
      <c r="Q2" s="52"/>
      <c r="R2" s="51"/>
      <c r="S2" s="52"/>
      <c r="T2" s="51"/>
      <c r="U2" s="52"/>
      <c r="V2" s="51"/>
      <c r="W2" s="52"/>
      <c r="X2" s="51"/>
      <c r="Y2" s="52"/>
      <c r="Z2" s="51"/>
      <c r="AA2" s="52"/>
      <c r="AB2" s="51"/>
      <c r="AC2" s="52"/>
      <c r="AD2" s="51"/>
    </row>
    <row r="3" spans="1:30" x14ac:dyDescent="0.25">
      <c r="A3" s="16" t="s">
        <v>2</v>
      </c>
      <c r="B3" s="16" t="s">
        <v>555</v>
      </c>
      <c r="C3" s="16" t="s">
        <v>556</v>
      </c>
      <c r="D3" s="16" t="s">
        <v>557</v>
      </c>
      <c r="E3" s="16" t="s">
        <v>558</v>
      </c>
      <c r="F3" s="53" t="s">
        <v>21</v>
      </c>
      <c r="G3" s="53" t="s">
        <v>559</v>
      </c>
      <c r="H3" s="54" t="s">
        <v>560</v>
      </c>
      <c r="I3" s="53" t="s">
        <v>559</v>
      </c>
      <c r="J3" s="54" t="s">
        <v>560</v>
      </c>
      <c r="K3" s="53" t="s">
        <v>559</v>
      </c>
      <c r="L3" s="54" t="s">
        <v>560</v>
      </c>
      <c r="M3" s="53" t="s">
        <v>559</v>
      </c>
      <c r="N3" s="54" t="s">
        <v>560</v>
      </c>
      <c r="O3" s="53" t="s">
        <v>559</v>
      </c>
      <c r="P3" s="54" t="s">
        <v>560</v>
      </c>
      <c r="Q3" s="53" t="s">
        <v>559</v>
      </c>
      <c r="R3" s="54" t="s">
        <v>560</v>
      </c>
      <c r="S3" s="53" t="s">
        <v>559</v>
      </c>
      <c r="T3" s="54" t="s">
        <v>560</v>
      </c>
      <c r="U3" s="53" t="s">
        <v>559</v>
      </c>
      <c r="V3" s="54" t="s">
        <v>560</v>
      </c>
      <c r="W3" s="53" t="s">
        <v>559</v>
      </c>
      <c r="X3" s="54" t="s">
        <v>560</v>
      </c>
      <c r="Y3" s="53" t="s">
        <v>559</v>
      </c>
      <c r="Z3" s="54" t="s">
        <v>560</v>
      </c>
      <c r="AA3" s="53" t="s">
        <v>559</v>
      </c>
      <c r="AB3" s="54" t="s">
        <v>560</v>
      </c>
      <c r="AC3" s="53" t="s">
        <v>559</v>
      </c>
      <c r="AD3" s="54" t="s">
        <v>560</v>
      </c>
    </row>
    <row r="4" spans="1:30" ht="15.75" x14ac:dyDescent="0.25">
      <c r="A4" s="16">
        <v>1</v>
      </c>
      <c r="B4" s="16" t="s">
        <v>561</v>
      </c>
      <c r="C4" s="16" t="s">
        <v>562</v>
      </c>
      <c r="D4" s="16" t="s">
        <v>24</v>
      </c>
      <c r="E4" s="16" t="s">
        <v>29</v>
      </c>
      <c r="F4" s="55">
        <f>G4+I4+K4+M4+O4+Q4+S4+U4+W4+Y4+AA4+AC4</f>
        <v>50000</v>
      </c>
      <c r="G4" s="53">
        <v>50000</v>
      </c>
      <c r="H4" s="16"/>
      <c r="I4" s="53"/>
      <c r="J4" s="16"/>
      <c r="K4" s="53"/>
      <c r="L4" s="16"/>
      <c r="M4" s="53"/>
      <c r="N4" s="16"/>
      <c r="O4" s="53"/>
      <c r="P4" s="16"/>
      <c r="Q4" s="53"/>
      <c r="R4" s="16"/>
      <c r="S4" s="53"/>
      <c r="T4" s="16"/>
      <c r="U4" s="53"/>
      <c r="V4" s="16"/>
      <c r="W4" s="53"/>
      <c r="X4" s="16"/>
      <c r="Y4" s="53"/>
      <c r="Z4" s="16"/>
      <c r="AA4" s="53"/>
      <c r="AB4" s="16"/>
      <c r="AC4" s="53"/>
      <c r="AD4" s="16"/>
    </row>
    <row r="5" spans="1:30" ht="15.75" x14ac:dyDescent="0.25">
      <c r="A5" s="16">
        <v>2</v>
      </c>
      <c r="B5" s="16" t="s">
        <v>563</v>
      </c>
      <c r="C5" s="16" t="s">
        <v>564</v>
      </c>
      <c r="D5" s="16" t="s">
        <v>24</v>
      </c>
      <c r="E5" s="16" t="s">
        <v>32</v>
      </c>
      <c r="F5" s="55">
        <f t="shared" ref="F5:F64" si="0">G5+I5+K5+M5+O5+Q5+S5+U5+W5+Y5+AA5+AC5</f>
        <v>50000</v>
      </c>
      <c r="G5" s="53">
        <v>50000</v>
      </c>
      <c r="H5" s="16"/>
      <c r="I5" s="53"/>
      <c r="J5" s="16"/>
      <c r="K5" s="53"/>
      <c r="L5" s="16"/>
      <c r="M5" s="53"/>
      <c r="N5" s="16"/>
      <c r="O5" s="53"/>
      <c r="P5" s="16"/>
      <c r="Q5" s="53"/>
      <c r="R5" s="16"/>
      <c r="S5" s="53"/>
      <c r="T5" s="16"/>
      <c r="U5" s="53"/>
      <c r="V5" s="16"/>
      <c r="W5" s="53"/>
      <c r="X5" s="16"/>
      <c r="Y5" s="53"/>
      <c r="Z5" s="16"/>
      <c r="AA5" s="53"/>
      <c r="AB5" s="16"/>
      <c r="AC5" s="53"/>
      <c r="AD5" s="16"/>
    </row>
    <row r="6" spans="1:30" ht="15.75" x14ac:dyDescent="0.25">
      <c r="A6" s="16">
        <v>3</v>
      </c>
      <c r="B6" s="16" t="s">
        <v>565</v>
      </c>
      <c r="C6" s="16" t="s">
        <v>566</v>
      </c>
      <c r="D6" s="16" t="s">
        <v>24</v>
      </c>
      <c r="E6" s="16" t="s">
        <v>129</v>
      </c>
      <c r="F6" s="55">
        <f t="shared" si="0"/>
        <v>50000</v>
      </c>
      <c r="G6" s="53">
        <v>50000</v>
      </c>
      <c r="H6" s="16"/>
      <c r="I6" s="53"/>
      <c r="J6" s="16"/>
      <c r="K6" s="53"/>
      <c r="L6" s="16"/>
      <c r="M6" s="53"/>
      <c r="N6" s="16"/>
      <c r="O6" s="53"/>
      <c r="P6" s="16"/>
      <c r="Q6" s="53"/>
      <c r="R6" s="16"/>
      <c r="S6" s="53"/>
      <c r="T6" s="16"/>
      <c r="U6" s="53"/>
      <c r="V6" s="16"/>
      <c r="W6" s="53"/>
      <c r="X6" s="16"/>
      <c r="Y6" s="53"/>
      <c r="Z6" s="16"/>
      <c r="AA6" s="53"/>
      <c r="AB6" s="16"/>
      <c r="AC6" s="53"/>
      <c r="AD6" s="16"/>
    </row>
    <row r="7" spans="1:30" ht="15.75" x14ac:dyDescent="0.25">
      <c r="A7" s="16">
        <v>4</v>
      </c>
      <c r="B7" s="16" t="s">
        <v>567</v>
      </c>
      <c r="C7" s="16" t="s">
        <v>568</v>
      </c>
      <c r="D7" s="16" t="s">
        <v>24</v>
      </c>
      <c r="E7" s="16" t="s">
        <v>36</v>
      </c>
      <c r="F7" s="55">
        <f t="shared" si="0"/>
        <v>50000</v>
      </c>
      <c r="G7" s="53">
        <v>50000</v>
      </c>
      <c r="H7" s="16"/>
      <c r="I7" s="53"/>
      <c r="J7" s="16"/>
      <c r="K7" s="53"/>
      <c r="L7" s="16"/>
      <c r="M7" s="53"/>
      <c r="N7" s="16"/>
      <c r="O7" s="53"/>
      <c r="P7" s="16"/>
      <c r="Q7" s="53"/>
      <c r="R7" s="16"/>
      <c r="S7" s="53"/>
      <c r="T7" s="16"/>
      <c r="U7" s="53"/>
      <c r="V7" s="16"/>
      <c r="W7" s="53"/>
      <c r="X7" s="16"/>
      <c r="Y7" s="53"/>
      <c r="Z7" s="16"/>
      <c r="AA7" s="53"/>
      <c r="AB7" s="16"/>
      <c r="AC7" s="53"/>
      <c r="AD7" s="16"/>
    </row>
    <row r="8" spans="1:30" ht="15.75" x14ac:dyDescent="0.25">
      <c r="A8" s="16">
        <v>5</v>
      </c>
      <c r="B8" s="16" t="s">
        <v>569</v>
      </c>
      <c r="C8" s="16" t="s">
        <v>570</v>
      </c>
      <c r="D8" s="16" t="s">
        <v>24</v>
      </c>
      <c r="E8" s="16" t="s">
        <v>43</v>
      </c>
      <c r="F8" s="55">
        <f t="shared" si="0"/>
        <v>50000</v>
      </c>
      <c r="G8" s="53">
        <v>50000</v>
      </c>
      <c r="H8" s="16"/>
      <c r="I8" s="53"/>
      <c r="J8" s="16"/>
      <c r="K8" s="53"/>
      <c r="L8" s="16"/>
      <c r="M8" s="53"/>
      <c r="N8" s="16"/>
      <c r="O8" s="53"/>
      <c r="P8" s="16"/>
      <c r="Q8" s="53"/>
      <c r="R8" s="16"/>
      <c r="S8" s="53"/>
      <c r="T8" s="16"/>
      <c r="U8" s="53"/>
      <c r="V8" s="16"/>
      <c r="W8" s="53"/>
      <c r="X8" s="16"/>
      <c r="Y8" s="53"/>
      <c r="Z8" s="16"/>
      <c r="AA8" s="53"/>
      <c r="AB8" s="16"/>
      <c r="AC8" s="53"/>
      <c r="AD8" s="16"/>
    </row>
    <row r="9" spans="1:30" ht="15.75" x14ac:dyDescent="0.25">
      <c r="A9" s="16">
        <v>6</v>
      </c>
      <c r="B9" s="16" t="s">
        <v>571</v>
      </c>
      <c r="C9" s="16" t="s">
        <v>572</v>
      </c>
      <c r="D9" s="16" t="s">
        <v>24</v>
      </c>
      <c r="E9" s="16" t="s">
        <v>47</v>
      </c>
      <c r="F9" s="55">
        <f t="shared" si="0"/>
        <v>50000</v>
      </c>
      <c r="G9" s="53">
        <v>50000</v>
      </c>
      <c r="H9" s="16"/>
      <c r="I9" s="53"/>
      <c r="J9" s="16"/>
      <c r="K9" s="53"/>
      <c r="L9" s="16"/>
      <c r="M9" s="53"/>
      <c r="N9" s="16"/>
      <c r="O9" s="53"/>
      <c r="P9" s="16"/>
      <c r="Q9" s="53"/>
      <c r="R9" s="16"/>
      <c r="S9" s="53"/>
      <c r="T9" s="16"/>
      <c r="U9" s="53"/>
      <c r="V9" s="16"/>
      <c r="W9" s="53"/>
      <c r="X9" s="16"/>
      <c r="Y9" s="53"/>
      <c r="Z9" s="16"/>
      <c r="AA9" s="53"/>
      <c r="AB9" s="16"/>
      <c r="AC9" s="53"/>
      <c r="AD9" s="16"/>
    </row>
    <row r="10" spans="1:30" ht="15.75" x14ac:dyDescent="0.25">
      <c r="A10" s="16">
        <v>7</v>
      </c>
      <c r="B10" s="16" t="s">
        <v>573</v>
      </c>
      <c r="C10" s="16" t="s">
        <v>574</v>
      </c>
      <c r="D10" s="16" t="s">
        <v>24</v>
      </c>
      <c r="E10" s="16" t="s">
        <v>211</v>
      </c>
      <c r="F10" s="55">
        <f t="shared" si="0"/>
        <v>50000</v>
      </c>
      <c r="G10" s="53">
        <v>50000</v>
      </c>
      <c r="H10" s="16"/>
      <c r="I10" s="53"/>
      <c r="J10" s="16"/>
      <c r="K10" s="53"/>
      <c r="L10" s="16"/>
      <c r="M10" s="53"/>
      <c r="N10" s="16"/>
      <c r="O10" s="53"/>
      <c r="P10" s="16"/>
      <c r="Q10" s="53"/>
      <c r="R10" s="16"/>
      <c r="S10" s="53"/>
      <c r="T10" s="16"/>
      <c r="U10" s="53"/>
      <c r="V10" s="16"/>
      <c r="W10" s="53"/>
      <c r="X10" s="16"/>
      <c r="Y10" s="53"/>
      <c r="Z10" s="16"/>
      <c r="AA10" s="53"/>
      <c r="AB10" s="16"/>
      <c r="AC10" s="53"/>
      <c r="AD10" s="16"/>
    </row>
    <row r="11" spans="1:30" ht="15.75" x14ac:dyDescent="0.25">
      <c r="A11" s="16">
        <v>8</v>
      </c>
      <c r="B11" s="16" t="s">
        <v>575</v>
      </c>
      <c r="C11" s="16" t="s">
        <v>576</v>
      </c>
      <c r="D11" s="16" t="s">
        <v>24</v>
      </c>
      <c r="E11" s="16" t="s">
        <v>55</v>
      </c>
      <c r="F11" s="55">
        <f t="shared" si="0"/>
        <v>50000</v>
      </c>
      <c r="G11" s="53">
        <v>50000</v>
      </c>
      <c r="H11" s="16"/>
      <c r="I11" s="53"/>
      <c r="J11" s="16"/>
      <c r="K11" s="53"/>
      <c r="L11" s="16"/>
      <c r="M11" s="53"/>
      <c r="N11" s="16"/>
      <c r="O11" s="53"/>
      <c r="P11" s="16"/>
      <c r="Q11" s="53"/>
      <c r="R11" s="16"/>
      <c r="S11" s="53"/>
      <c r="T11" s="16"/>
      <c r="U11" s="53"/>
      <c r="V11" s="16"/>
      <c r="W11" s="53"/>
      <c r="X11" s="16"/>
      <c r="Y11" s="53"/>
      <c r="Z11" s="16"/>
      <c r="AA11" s="53"/>
      <c r="AB11" s="16"/>
      <c r="AC11" s="53"/>
      <c r="AD11" s="16"/>
    </row>
    <row r="12" spans="1:30" ht="15.75" x14ac:dyDescent="0.25">
      <c r="A12" s="16">
        <v>9</v>
      </c>
      <c r="B12" s="16" t="s">
        <v>577</v>
      </c>
      <c r="C12" s="16" t="s">
        <v>578</v>
      </c>
      <c r="D12" s="16" t="s">
        <v>24</v>
      </c>
      <c r="E12" s="16" t="s">
        <v>527</v>
      </c>
      <c r="F12" s="55">
        <f t="shared" si="0"/>
        <v>50000</v>
      </c>
      <c r="G12" s="53">
        <v>50000</v>
      </c>
      <c r="H12" s="16"/>
      <c r="I12" s="53"/>
      <c r="J12" s="16"/>
      <c r="K12" s="53"/>
      <c r="L12" s="16"/>
      <c r="M12" s="53"/>
      <c r="N12" s="16"/>
      <c r="O12" s="53"/>
      <c r="P12" s="16"/>
      <c r="Q12" s="53"/>
      <c r="R12" s="16"/>
      <c r="S12" s="53"/>
      <c r="T12" s="16"/>
      <c r="U12" s="53"/>
      <c r="V12" s="16"/>
      <c r="W12" s="53"/>
      <c r="X12" s="16"/>
      <c r="Y12" s="53"/>
      <c r="Z12" s="16"/>
      <c r="AA12" s="53"/>
      <c r="AB12" s="16"/>
      <c r="AC12" s="53"/>
      <c r="AD12" s="16"/>
    </row>
    <row r="13" spans="1:30" ht="15.75" x14ac:dyDescent="0.25">
      <c r="A13" s="16">
        <v>10</v>
      </c>
      <c r="B13" s="16" t="s">
        <v>579</v>
      </c>
      <c r="C13" s="16" t="s">
        <v>580</v>
      </c>
      <c r="D13" s="16" t="s">
        <v>24</v>
      </c>
      <c r="E13" s="16" t="s">
        <v>61</v>
      </c>
      <c r="F13" s="55">
        <f t="shared" si="0"/>
        <v>50000</v>
      </c>
      <c r="G13" s="53">
        <v>50000</v>
      </c>
      <c r="H13" s="16"/>
      <c r="I13" s="53"/>
      <c r="J13" s="16"/>
      <c r="K13" s="53"/>
      <c r="L13" s="16"/>
      <c r="M13" s="53"/>
      <c r="N13" s="16"/>
      <c r="O13" s="53"/>
      <c r="P13" s="16"/>
      <c r="Q13" s="53"/>
      <c r="R13" s="16"/>
      <c r="S13" s="53"/>
      <c r="T13" s="16"/>
      <c r="U13" s="53"/>
      <c r="V13" s="16"/>
      <c r="W13" s="53"/>
      <c r="X13" s="16"/>
      <c r="Y13" s="53"/>
      <c r="Z13" s="16"/>
      <c r="AA13" s="53"/>
      <c r="AB13" s="16"/>
      <c r="AC13" s="53"/>
      <c r="AD13" s="16"/>
    </row>
    <row r="14" spans="1:30" ht="15.75" x14ac:dyDescent="0.25">
      <c r="A14" s="16">
        <v>11</v>
      </c>
      <c r="B14" s="16" t="s">
        <v>581</v>
      </c>
      <c r="C14" s="16" t="s">
        <v>582</v>
      </c>
      <c r="D14" s="16" t="s">
        <v>24</v>
      </c>
      <c r="E14" s="16" t="s">
        <v>65</v>
      </c>
      <c r="F14" s="55">
        <f t="shared" si="0"/>
        <v>50000</v>
      </c>
      <c r="G14" s="53">
        <v>50000</v>
      </c>
      <c r="H14" s="16"/>
      <c r="I14" s="53"/>
      <c r="J14" s="16"/>
      <c r="K14" s="53"/>
      <c r="L14" s="16"/>
      <c r="M14" s="53"/>
      <c r="N14" s="16"/>
      <c r="O14" s="53"/>
      <c r="P14" s="16"/>
      <c r="Q14" s="53"/>
      <c r="R14" s="16"/>
      <c r="S14" s="53"/>
      <c r="T14" s="16"/>
      <c r="U14" s="53"/>
      <c r="V14" s="16"/>
      <c r="W14" s="53"/>
      <c r="X14" s="16"/>
      <c r="Y14" s="53"/>
      <c r="Z14" s="16"/>
      <c r="AA14" s="53"/>
      <c r="AB14" s="16"/>
      <c r="AC14" s="53"/>
      <c r="AD14" s="16"/>
    </row>
    <row r="15" spans="1:30" ht="15.75" x14ac:dyDescent="0.25">
      <c r="A15" s="16">
        <v>12</v>
      </c>
      <c r="B15" s="16" t="s">
        <v>583</v>
      </c>
      <c r="C15" s="16" t="s">
        <v>584</v>
      </c>
      <c r="D15" s="16" t="s">
        <v>24</v>
      </c>
      <c r="E15" s="16" t="s">
        <v>73</v>
      </c>
      <c r="F15" s="55">
        <f t="shared" si="0"/>
        <v>0</v>
      </c>
      <c r="G15" s="53"/>
      <c r="H15" s="16"/>
      <c r="I15" s="53"/>
      <c r="J15" s="16"/>
      <c r="K15" s="53"/>
      <c r="L15" s="16"/>
      <c r="M15" s="53"/>
      <c r="N15" s="16"/>
      <c r="O15" s="53"/>
      <c r="P15" s="16"/>
      <c r="Q15" s="53"/>
      <c r="R15" s="16"/>
      <c r="S15" s="53"/>
      <c r="T15" s="16"/>
      <c r="U15" s="53"/>
      <c r="V15" s="16"/>
      <c r="W15" s="53"/>
      <c r="X15" s="16"/>
      <c r="Y15" s="53"/>
      <c r="Z15" s="16"/>
      <c r="AA15" s="53"/>
      <c r="AB15" s="16"/>
      <c r="AC15" s="53"/>
      <c r="AD15" s="16"/>
    </row>
    <row r="16" spans="1:30" ht="15.75" x14ac:dyDescent="0.25">
      <c r="A16" s="16">
        <v>13</v>
      </c>
      <c r="B16" s="16" t="s">
        <v>585</v>
      </c>
      <c r="C16" s="16" t="s">
        <v>586</v>
      </c>
      <c r="D16" s="16" t="s">
        <v>24</v>
      </c>
      <c r="E16" s="16" t="s">
        <v>76</v>
      </c>
      <c r="F16" s="55">
        <f t="shared" si="0"/>
        <v>50000</v>
      </c>
      <c r="G16" s="53">
        <v>50000</v>
      </c>
      <c r="H16" s="16"/>
      <c r="I16" s="53"/>
      <c r="J16" s="16"/>
      <c r="K16" s="53"/>
      <c r="L16" s="16"/>
      <c r="M16" s="53"/>
      <c r="N16" s="16"/>
      <c r="O16" s="53"/>
      <c r="P16" s="16"/>
      <c r="Q16" s="53"/>
      <c r="R16" s="16"/>
      <c r="S16" s="53"/>
      <c r="T16" s="16"/>
      <c r="U16" s="53"/>
      <c r="V16" s="16"/>
      <c r="W16" s="53"/>
      <c r="X16" s="16"/>
      <c r="Y16" s="53"/>
      <c r="Z16" s="16"/>
      <c r="AA16" s="53"/>
      <c r="AB16" s="16"/>
      <c r="AC16" s="53"/>
      <c r="AD16" s="16"/>
    </row>
    <row r="17" spans="1:30" ht="15.75" x14ac:dyDescent="0.25">
      <c r="A17" s="16">
        <v>14</v>
      </c>
      <c r="B17" s="16" t="s">
        <v>587</v>
      </c>
      <c r="C17" s="16" t="s">
        <v>588</v>
      </c>
      <c r="D17" s="16" t="s">
        <v>24</v>
      </c>
      <c r="E17" s="16" t="s">
        <v>85</v>
      </c>
      <c r="F17" s="55">
        <f t="shared" si="0"/>
        <v>50000</v>
      </c>
      <c r="G17" s="53">
        <v>50000</v>
      </c>
      <c r="H17" s="16"/>
      <c r="I17" s="53"/>
      <c r="J17" s="16"/>
      <c r="K17" s="53"/>
      <c r="L17" s="16"/>
      <c r="M17" s="53"/>
      <c r="N17" s="16"/>
      <c r="O17" s="53"/>
      <c r="P17" s="16"/>
      <c r="Q17" s="53"/>
      <c r="R17" s="16"/>
      <c r="S17" s="53"/>
      <c r="T17" s="16"/>
      <c r="U17" s="53"/>
      <c r="V17" s="16"/>
      <c r="W17" s="53"/>
      <c r="X17" s="16"/>
      <c r="Y17" s="53"/>
      <c r="Z17" s="16"/>
      <c r="AA17" s="53"/>
      <c r="AB17" s="16"/>
      <c r="AC17" s="53"/>
      <c r="AD17" s="16"/>
    </row>
    <row r="18" spans="1:30" ht="15.75" x14ac:dyDescent="0.25">
      <c r="A18" s="16">
        <v>15</v>
      </c>
      <c r="B18" s="16" t="s">
        <v>589</v>
      </c>
      <c r="C18" s="16" t="s">
        <v>590</v>
      </c>
      <c r="D18" s="16" t="s">
        <v>24</v>
      </c>
      <c r="E18" s="16" t="s">
        <v>93</v>
      </c>
      <c r="F18" s="55">
        <f t="shared" si="0"/>
        <v>50000</v>
      </c>
      <c r="G18" s="53">
        <v>50000</v>
      </c>
      <c r="H18" s="16"/>
      <c r="I18" s="53"/>
      <c r="J18" s="16"/>
      <c r="K18" s="53"/>
      <c r="L18" s="16"/>
      <c r="M18" s="53"/>
      <c r="N18" s="16"/>
      <c r="O18" s="53"/>
      <c r="P18" s="16"/>
      <c r="Q18" s="53"/>
      <c r="R18" s="16"/>
      <c r="S18" s="53"/>
      <c r="T18" s="16"/>
      <c r="U18" s="53"/>
      <c r="V18" s="16"/>
      <c r="W18" s="53"/>
      <c r="X18" s="16"/>
      <c r="Y18" s="53"/>
      <c r="Z18" s="16"/>
      <c r="AA18" s="53"/>
      <c r="AB18" s="16"/>
      <c r="AC18" s="53"/>
      <c r="AD18" s="16"/>
    </row>
    <row r="19" spans="1:30" ht="15.75" x14ac:dyDescent="0.25">
      <c r="A19" s="16">
        <v>16</v>
      </c>
      <c r="B19" s="16" t="s">
        <v>591</v>
      </c>
      <c r="C19" s="16" t="s">
        <v>592</v>
      </c>
      <c r="D19" s="16" t="s">
        <v>24</v>
      </c>
      <c r="E19" s="16" t="s">
        <v>97</v>
      </c>
      <c r="F19" s="55">
        <f t="shared" si="0"/>
        <v>50000</v>
      </c>
      <c r="G19" s="53">
        <v>50000</v>
      </c>
      <c r="H19" s="16"/>
      <c r="I19" s="53"/>
      <c r="J19" s="16"/>
      <c r="K19" s="53"/>
      <c r="L19" s="16"/>
      <c r="M19" s="53"/>
      <c r="N19" s="16"/>
      <c r="O19" s="53"/>
      <c r="P19" s="16"/>
      <c r="Q19" s="53"/>
      <c r="R19" s="16"/>
      <c r="S19" s="53"/>
      <c r="T19" s="16"/>
      <c r="U19" s="53"/>
      <c r="V19" s="16"/>
      <c r="W19" s="53"/>
      <c r="X19" s="16"/>
      <c r="Y19" s="53"/>
      <c r="Z19" s="16"/>
      <c r="AA19" s="53"/>
      <c r="AB19" s="16"/>
      <c r="AC19" s="53"/>
      <c r="AD19" s="16"/>
    </row>
    <row r="20" spans="1:30" ht="15.75" x14ac:dyDescent="0.25">
      <c r="A20" s="16">
        <v>17</v>
      </c>
      <c r="B20" s="16" t="s">
        <v>593</v>
      </c>
      <c r="C20" s="16" t="s">
        <v>594</v>
      </c>
      <c r="D20" s="16" t="s">
        <v>24</v>
      </c>
      <c r="E20" s="16" t="s">
        <v>101</v>
      </c>
      <c r="F20" s="55">
        <f t="shared" si="0"/>
        <v>50000</v>
      </c>
      <c r="G20" s="53">
        <v>50000</v>
      </c>
      <c r="H20" s="16"/>
      <c r="I20" s="53"/>
      <c r="J20" s="16"/>
      <c r="K20" s="53"/>
      <c r="L20" s="16"/>
      <c r="M20" s="53"/>
      <c r="N20" s="16"/>
      <c r="O20" s="53"/>
      <c r="P20" s="16"/>
      <c r="Q20" s="53"/>
      <c r="R20" s="16"/>
      <c r="S20" s="53"/>
      <c r="T20" s="16"/>
      <c r="U20" s="53"/>
      <c r="V20" s="16"/>
      <c r="W20" s="53"/>
      <c r="X20" s="16"/>
      <c r="Y20" s="53"/>
      <c r="Z20" s="16"/>
      <c r="AA20" s="53"/>
      <c r="AB20" s="16"/>
      <c r="AC20" s="53"/>
      <c r="AD20" s="16"/>
    </row>
    <row r="21" spans="1:30" ht="15.75" x14ac:dyDescent="0.25">
      <c r="A21" s="16">
        <v>18</v>
      </c>
      <c r="B21" s="16" t="s">
        <v>595</v>
      </c>
      <c r="C21" s="16" t="s">
        <v>596</v>
      </c>
      <c r="D21" s="16" t="s">
        <v>24</v>
      </c>
      <c r="E21" s="16" t="s">
        <v>105</v>
      </c>
      <c r="F21" s="55">
        <f t="shared" si="0"/>
        <v>50000</v>
      </c>
      <c r="G21" s="53">
        <v>50000</v>
      </c>
      <c r="H21" s="16"/>
      <c r="I21" s="53"/>
      <c r="J21" s="16"/>
      <c r="K21" s="53"/>
      <c r="L21" s="16"/>
      <c r="M21" s="53"/>
      <c r="N21" s="16"/>
      <c r="O21" s="53"/>
      <c r="P21" s="16"/>
      <c r="Q21" s="53"/>
      <c r="R21" s="16"/>
      <c r="S21" s="53"/>
      <c r="T21" s="16"/>
      <c r="U21" s="53"/>
      <c r="V21" s="16"/>
      <c r="W21" s="53"/>
      <c r="X21" s="16"/>
      <c r="Y21" s="53"/>
      <c r="Z21" s="16"/>
      <c r="AA21" s="53"/>
      <c r="AB21" s="16"/>
      <c r="AC21" s="53"/>
      <c r="AD21" s="16"/>
    </row>
    <row r="22" spans="1:30" ht="15.75" x14ac:dyDescent="0.25">
      <c r="A22" s="16">
        <v>19</v>
      </c>
      <c r="B22" s="16" t="s">
        <v>597</v>
      </c>
      <c r="C22" s="16" t="s">
        <v>598</v>
      </c>
      <c r="D22" s="16" t="s">
        <v>24</v>
      </c>
      <c r="E22" s="16" t="s">
        <v>109</v>
      </c>
      <c r="F22" s="55">
        <f t="shared" si="0"/>
        <v>50000</v>
      </c>
      <c r="G22" s="53">
        <v>50000</v>
      </c>
      <c r="H22" s="16"/>
      <c r="I22" s="53"/>
      <c r="J22" s="16"/>
      <c r="K22" s="53"/>
      <c r="L22" s="16"/>
      <c r="M22" s="53"/>
      <c r="N22" s="16"/>
      <c r="O22" s="53"/>
      <c r="P22" s="16"/>
      <c r="Q22" s="53"/>
      <c r="R22" s="16"/>
      <c r="S22" s="53"/>
      <c r="T22" s="16"/>
      <c r="U22" s="53"/>
      <c r="V22" s="16"/>
      <c r="W22" s="53"/>
      <c r="X22" s="16"/>
      <c r="Y22" s="53"/>
      <c r="Z22" s="16"/>
      <c r="AA22" s="53"/>
      <c r="AB22" s="16"/>
      <c r="AC22" s="53"/>
      <c r="AD22" s="16"/>
    </row>
    <row r="23" spans="1:30" ht="15.75" x14ac:dyDescent="0.25">
      <c r="A23" s="16">
        <v>20</v>
      </c>
      <c r="B23" s="16" t="s">
        <v>599</v>
      </c>
      <c r="C23" s="16" t="s">
        <v>600</v>
      </c>
      <c r="D23" s="16" t="s">
        <v>24</v>
      </c>
      <c r="E23" s="16" t="s">
        <v>162</v>
      </c>
      <c r="F23" s="55">
        <f t="shared" si="0"/>
        <v>50000</v>
      </c>
      <c r="G23" s="53">
        <v>50000</v>
      </c>
      <c r="H23" s="16"/>
      <c r="I23" s="53"/>
      <c r="J23" s="16"/>
      <c r="K23" s="53"/>
      <c r="L23" s="16"/>
      <c r="M23" s="53"/>
      <c r="N23" s="16"/>
      <c r="O23" s="53"/>
      <c r="P23" s="16"/>
      <c r="Q23" s="53"/>
      <c r="R23" s="16"/>
      <c r="S23" s="53"/>
      <c r="T23" s="16"/>
      <c r="U23" s="53"/>
      <c r="V23" s="16"/>
      <c r="W23" s="53"/>
      <c r="X23" s="16"/>
      <c r="Y23" s="53"/>
      <c r="Z23" s="16"/>
      <c r="AA23" s="53"/>
      <c r="AB23" s="16"/>
      <c r="AC23" s="53"/>
      <c r="AD23" s="16"/>
    </row>
    <row r="24" spans="1:30" ht="15.75" x14ac:dyDescent="0.25">
      <c r="A24" s="16">
        <v>21</v>
      </c>
      <c r="B24" s="16" t="s">
        <v>601</v>
      </c>
      <c r="C24" s="16" t="s">
        <v>602</v>
      </c>
      <c r="D24" s="16" t="s">
        <v>24</v>
      </c>
      <c r="E24" s="16" t="s">
        <v>113</v>
      </c>
      <c r="F24" s="55">
        <f t="shared" si="0"/>
        <v>50000</v>
      </c>
      <c r="G24" s="53">
        <v>50000</v>
      </c>
      <c r="H24" s="16"/>
      <c r="I24" s="53"/>
      <c r="J24" s="16"/>
      <c r="K24" s="53"/>
      <c r="L24" s="16"/>
      <c r="M24" s="53"/>
      <c r="N24" s="16"/>
      <c r="O24" s="53"/>
      <c r="P24" s="16"/>
      <c r="Q24" s="53"/>
      <c r="R24" s="16"/>
      <c r="S24" s="53"/>
      <c r="T24" s="16"/>
      <c r="U24" s="53"/>
      <c r="V24" s="16"/>
      <c r="W24" s="53"/>
      <c r="X24" s="16"/>
      <c r="Y24" s="53"/>
      <c r="Z24" s="16"/>
      <c r="AA24" s="53"/>
      <c r="AB24" s="16"/>
      <c r="AC24" s="53"/>
      <c r="AD24" s="16"/>
    </row>
    <row r="25" spans="1:30" ht="15.75" x14ac:dyDescent="0.25">
      <c r="A25" s="16">
        <v>22</v>
      </c>
      <c r="B25" s="16" t="s">
        <v>603</v>
      </c>
      <c r="C25" s="16" t="s">
        <v>604</v>
      </c>
      <c r="D25" s="16" t="s">
        <v>195</v>
      </c>
      <c r="E25" s="16" t="s">
        <v>211</v>
      </c>
      <c r="F25" s="55">
        <f t="shared" si="0"/>
        <v>50000</v>
      </c>
      <c r="G25" s="53">
        <v>50000</v>
      </c>
      <c r="H25" s="16"/>
      <c r="I25" s="53"/>
      <c r="J25" s="16"/>
      <c r="K25" s="53"/>
      <c r="L25" s="16"/>
      <c r="M25" s="53"/>
      <c r="N25" s="16"/>
      <c r="O25" s="53"/>
      <c r="P25" s="16"/>
      <c r="Q25" s="53"/>
      <c r="R25" s="16"/>
      <c r="S25" s="53"/>
      <c r="T25" s="16"/>
      <c r="U25" s="53"/>
      <c r="V25" s="16"/>
      <c r="W25" s="53"/>
      <c r="X25" s="16"/>
      <c r="Y25" s="53"/>
      <c r="Z25" s="16"/>
      <c r="AA25" s="53"/>
      <c r="AB25" s="16"/>
      <c r="AC25" s="53"/>
      <c r="AD25" s="16"/>
    </row>
    <row r="26" spans="1:30" ht="15.75" x14ac:dyDescent="0.25">
      <c r="A26" s="16">
        <v>23</v>
      </c>
      <c r="B26" s="16" t="s">
        <v>605</v>
      </c>
      <c r="C26" s="16" t="s">
        <v>606</v>
      </c>
      <c r="D26" s="16" t="s">
        <v>195</v>
      </c>
      <c r="E26" s="16" t="s">
        <v>79</v>
      </c>
      <c r="F26" s="55">
        <f t="shared" si="0"/>
        <v>50000</v>
      </c>
      <c r="G26" s="53">
        <v>50000</v>
      </c>
      <c r="H26" s="16"/>
      <c r="I26" s="53"/>
      <c r="J26" s="16"/>
      <c r="K26" s="53"/>
      <c r="L26" s="16"/>
      <c r="M26" s="53"/>
      <c r="N26" s="16"/>
      <c r="O26" s="53"/>
      <c r="P26" s="16"/>
      <c r="Q26" s="53"/>
      <c r="R26" s="16"/>
      <c r="S26" s="53"/>
      <c r="T26" s="16"/>
      <c r="U26" s="53"/>
      <c r="V26" s="16"/>
      <c r="W26" s="53"/>
      <c r="X26" s="16"/>
      <c r="Y26" s="53"/>
      <c r="Z26" s="16"/>
      <c r="AA26" s="53"/>
      <c r="AB26" s="16"/>
      <c r="AC26" s="53"/>
      <c r="AD26" s="16"/>
    </row>
    <row r="27" spans="1:30" ht="15.75" x14ac:dyDescent="0.25">
      <c r="A27" s="16">
        <v>24</v>
      </c>
      <c r="B27" s="16" t="s">
        <v>607</v>
      </c>
      <c r="C27" s="16" t="s">
        <v>608</v>
      </c>
      <c r="D27" s="16" t="s">
        <v>195</v>
      </c>
      <c r="E27" s="16" t="s">
        <v>82</v>
      </c>
      <c r="F27" s="55">
        <f t="shared" si="0"/>
        <v>50000</v>
      </c>
      <c r="G27" s="53">
        <v>50000</v>
      </c>
      <c r="H27" s="16"/>
      <c r="I27" s="53"/>
      <c r="J27" s="16"/>
      <c r="K27" s="53"/>
      <c r="L27" s="16"/>
      <c r="M27" s="53"/>
      <c r="N27" s="16"/>
      <c r="O27" s="53"/>
      <c r="P27" s="16"/>
      <c r="Q27" s="53"/>
      <c r="R27" s="16"/>
      <c r="S27" s="53"/>
      <c r="T27" s="16"/>
      <c r="U27" s="53"/>
      <c r="V27" s="16"/>
      <c r="W27" s="53"/>
      <c r="X27" s="16"/>
      <c r="Y27" s="53"/>
      <c r="Z27" s="16"/>
      <c r="AA27" s="53"/>
      <c r="AB27" s="16"/>
      <c r="AC27" s="53"/>
      <c r="AD27" s="16"/>
    </row>
    <row r="28" spans="1:30" ht="15.75" x14ac:dyDescent="0.25">
      <c r="A28" s="16">
        <v>25</v>
      </c>
      <c r="B28" s="16" t="s">
        <v>609</v>
      </c>
      <c r="C28" s="16" t="s">
        <v>610</v>
      </c>
      <c r="D28" s="16" t="s">
        <v>195</v>
      </c>
      <c r="E28" s="16" t="s">
        <v>93</v>
      </c>
      <c r="F28" s="55">
        <f t="shared" si="0"/>
        <v>50000</v>
      </c>
      <c r="G28" s="53">
        <v>50000</v>
      </c>
      <c r="H28" s="16"/>
      <c r="I28" s="53"/>
      <c r="J28" s="16"/>
      <c r="K28" s="53"/>
      <c r="L28" s="16"/>
      <c r="M28" s="53"/>
      <c r="N28" s="16"/>
      <c r="O28" s="53"/>
      <c r="P28" s="16"/>
      <c r="Q28" s="53"/>
      <c r="R28" s="16"/>
      <c r="S28" s="53"/>
      <c r="T28" s="16"/>
      <c r="U28" s="53"/>
      <c r="V28" s="16"/>
      <c r="W28" s="53"/>
      <c r="X28" s="16"/>
      <c r="Y28" s="53"/>
      <c r="Z28" s="16"/>
      <c r="AA28" s="53"/>
      <c r="AB28" s="16"/>
      <c r="AC28" s="53"/>
      <c r="AD28" s="16"/>
    </row>
    <row r="29" spans="1:30" ht="15.75" x14ac:dyDescent="0.25">
      <c r="A29" s="16">
        <v>26</v>
      </c>
      <c r="B29" s="16" t="s">
        <v>611</v>
      </c>
      <c r="C29" s="16" t="s">
        <v>612</v>
      </c>
      <c r="D29" s="16" t="s">
        <v>613</v>
      </c>
      <c r="E29" s="16" t="s">
        <v>121</v>
      </c>
      <c r="F29" s="55">
        <f t="shared" si="0"/>
        <v>50000</v>
      </c>
      <c r="G29" s="53">
        <v>50000</v>
      </c>
      <c r="H29" s="16"/>
      <c r="I29" s="53"/>
      <c r="J29" s="16"/>
      <c r="K29" s="53"/>
      <c r="L29" s="16"/>
      <c r="M29" s="53"/>
      <c r="N29" s="16"/>
      <c r="O29" s="53"/>
      <c r="P29" s="16"/>
      <c r="Q29" s="53"/>
      <c r="R29" s="16"/>
      <c r="S29" s="53"/>
      <c r="T29" s="16"/>
      <c r="U29" s="53"/>
      <c r="V29" s="16"/>
      <c r="W29" s="53"/>
      <c r="X29" s="16"/>
      <c r="Y29" s="53"/>
      <c r="Z29" s="16"/>
      <c r="AA29" s="53"/>
      <c r="AB29" s="16"/>
      <c r="AC29" s="53"/>
      <c r="AD29" s="16"/>
    </row>
    <row r="30" spans="1:30" ht="15.75" x14ac:dyDescent="0.25">
      <c r="A30" s="16">
        <v>27</v>
      </c>
      <c r="B30" s="16" t="s">
        <v>614</v>
      </c>
      <c r="C30" s="16" t="s">
        <v>615</v>
      </c>
      <c r="D30" s="16" t="s">
        <v>613</v>
      </c>
      <c r="E30" s="16" t="s">
        <v>29</v>
      </c>
      <c r="F30" s="55">
        <f t="shared" si="0"/>
        <v>50000</v>
      </c>
      <c r="G30" s="53">
        <v>50000</v>
      </c>
      <c r="H30" s="16"/>
      <c r="I30" s="53"/>
      <c r="J30" s="16"/>
      <c r="K30" s="53"/>
      <c r="L30" s="16"/>
      <c r="M30" s="53"/>
      <c r="N30" s="16"/>
      <c r="O30" s="53"/>
      <c r="P30" s="16"/>
      <c r="Q30" s="53"/>
      <c r="R30" s="16"/>
      <c r="S30" s="53"/>
      <c r="T30" s="16"/>
      <c r="U30" s="53"/>
      <c r="V30" s="16"/>
      <c r="W30" s="53"/>
      <c r="X30" s="16"/>
      <c r="Y30" s="53"/>
      <c r="Z30" s="16"/>
      <c r="AA30" s="53"/>
      <c r="AB30" s="16"/>
      <c r="AC30" s="53"/>
      <c r="AD30" s="16"/>
    </row>
    <row r="31" spans="1:30" ht="15.75" x14ac:dyDescent="0.25">
      <c r="A31" s="16">
        <v>28</v>
      </c>
      <c r="B31" s="16" t="s">
        <v>616</v>
      </c>
      <c r="C31" s="16" t="s">
        <v>617</v>
      </c>
      <c r="D31" s="16" t="s">
        <v>613</v>
      </c>
      <c r="E31" s="16" t="s">
        <v>32</v>
      </c>
      <c r="F31" s="55">
        <f t="shared" si="0"/>
        <v>50000</v>
      </c>
      <c r="G31" s="53">
        <v>50000</v>
      </c>
      <c r="H31" s="16"/>
      <c r="I31" s="53"/>
      <c r="J31" s="16"/>
      <c r="K31" s="53"/>
      <c r="L31" s="16"/>
      <c r="M31" s="53"/>
      <c r="N31" s="16"/>
      <c r="O31" s="53"/>
      <c r="P31" s="16"/>
      <c r="Q31" s="53"/>
      <c r="R31" s="16"/>
      <c r="S31" s="53"/>
      <c r="T31" s="16"/>
      <c r="U31" s="53"/>
      <c r="V31" s="16"/>
      <c r="W31" s="53"/>
      <c r="X31" s="16"/>
      <c r="Y31" s="53"/>
      <c r="Z31" s="16"/>
      <c r="AA31" s="53"/>
      <c r="AB31" s="16"/>
      <c r="AC31" s="53"/>
      <c r="AD31" s="16"/>
    </row>
    <row r="32" spans="1:30" ht="15.75" x14ac:dyDescent="0.25">
      <c r="A32" s="16">
        <v>29</v>
      </c>
      <c r="B32" s="16" t="s">
        <v>618</v>
      </c>
      <c r="C32" s="16" t="s">
        <v>619</v>
      </c>
      <c r="D32" s="16" t="s">
        <v>613</v>
      </c>
      <c r="E32" s="16" t="s">
        <v>132</v>
      </c>
      <c r="F32" s="55">
        <f t="shared" si="0"/>
        <v>50000</v>
      </c>
      <c r="G32" s="53">
        <v>50000</v>
      </c>
      <c r="H32" s="16"/>
      <c r="I32" s="53"/>
      <c r="J32" s="16"/>
      <c r="K32" s="53"/>
      <c r="L32" s="16"/>
      <c r="M32" s="53"/>
      <c r="N32" s="16"/>
      <c r="O32" s="53"/>
      <c r="P32" s="16"/>
      <c r="Q32" s="53"/>
      <c r="R32" s="16"/>
      <c r="S32" s="53"/>
      <c r="T32" s="16"/>
      <c r="U32" s="53"/>
      <c r="V32" s="16"/>
      <c r="W32" s="53"/>
      <c r="X32" s="16"/>
      <c r="Y32" s="53"/>
      <c r="Z32" s="16"/>
      <c r="AA32" s="53"/>
      <c r="AB32" s="16"/>
      <c r="AC32" s="53"/>
      <c r="AD32" s="16"/>
    </row>
    <row r="33" spans="1:30" ht="15.75" x14ac:dyDescent="0.25">
      <c r="A33" s="16">
        <v>30</v>
      </c>
      <c r="B33" s="16" t="s">
        <v>620</v>
      </c>
      <c r="C33" s="16" t="s">
        <v>621</v>
      </c>
      <c r="D33" s="16" t="s">
        <v>613</v>
      </c>
      <c r="E33" s="16" t="s">
        <v>36</v>
      </c>
      <c r="F33" s="55">
        <f t="shared" si="0"/>
        <v>50000</v>
      </c>
      <c r="G33" s="53">
        <v>50000</v>
      </c>
      <c r="H33" s="16"/>
      <c r="I33" s="53"/>
      <c r="J33" s="16"/>
      <c r="K33" s="53"/>
      <c r="L33" s="16"/>
      <c r="M33" s="53"/>
      <c r="N33" s="16"/>
      <c r="O33" s="53"/>
      <c r="P33" s="16"/>
      <c r="Q33" s="53"/>
      <c r="R33" s="16"/>
      <c r="S33" s="53"/>
      <c r="T33" s="16"/>
      <c r="U33" s="53"/>
      <c r="V33" s="16"/>
      <c r="W33" s="53"/>
      <c r="X33" s="16"/>
      <c r="Y33" s="53"/>
      <c r="Z33" s="16"/>
      <c r="AA33" s="53"/>
      <c r="AB33" s="16"/>
      <c r="AC33" s="53"/>
      <c r="AD33" s="16"/>
    </row>
    <row r="34" spans="1:30" ht="15.75" x14ac:dyDescent="0.25">
      <c r="A34" s="16">
        <v>31</v>
      </c>
      <c r="B34" s="16" t="s">
        <v>622</v>
      </c>
      <c r="C34" s="16" t="s">
        <v>623</v>
      </c>
      <c r="D34" s="16" t="s">
        <v>613</v>
      </c>
      <c r="E34" s="16" t="s">
        <v>73</v>
      </c>
      <c r="F34" s="55">
        <f t="shared" si="0"/>
        <v>50000</v>
      </c>
      <c r="G34" s="53">
        <v>50000</v>
      </c>
      <c r="H34" s="16"/>
      <c r="I34" s="53"/>
      <c r="J34" s="16"/>
      <c r="K34" s="53"/>
      <c r="L34" s="16"/>
      <c r="M34" s="53"/>
      <c r="N34" s="16"/>
      <c r="O34" s="53"/>
      <c r="P34" s="16"/>
      <c r="Q34" s="53"/>
      <c r="R34" s="16"/>
      <c r="S34" s="53"/>
      <c r="T34" s="16"/>
      <c r="U34" s="53"/>
      <c r="V34" s="16"/>
      <c r="W34" s="53"/>
      <c r="X34" s="16"/>
      <c r="Y34" s="53"/>
      <c r="Z34" s="16"/>
      <c r="AA34" s="53"/>
      <c r="AB34" s="16"/>
      <c r="AC34" s="53"/>
      <c r="AD34" s="16"/>
    </row>
    <row r="35" spans="1:30" ht="15.75" x14ac:dyDescent="0.25">
      <c r="A35" s="16">
        <v>32</v>
      </c>
      <c r="B35" s="16" t="s">
        <v>624</v>
      </c>
      <c r="C35" s="16" t="s">
        <v>625</v>
      </c>
      <c r="D35" s="16" t="s">
        <v>613</v>
      </c>
      <c r="E35" s="16" t="s">
        <v>76</v>
      </c>
      <c r="F35" s="55">
        <f t="shared" si="0"/>
        <v>50000</v>
      </c>
      <c r="G35" s="53">
        <v>50000</v>
      </c>
      <c r="H35" s="16"/>
      <c r="I35" s="53"/>
      <c r="J35" s="16"/>
      <c r="K35" s="53"/>
      <c r="L35" s="16"/>
      <c r="M35" s="53"/>
      <c r="N35" s="16"/>
      <c r="O35" s="53"/>
      <c r="P35" s="16"/>
      <c r="Q35" s="53"/>
      <c r="R35" s="16"/>
      <c r="S35" s="53"/>
      <c r="T35" s="16"/>
      <c r="U35" s="53"/>
      <c r="V35" s="16"/>
      <c r="W35" s="53"/>
      <c r="X35" s="16"/>
      <c r="Y35" s="53"/>
      <c r="Z35" s="16"/>
      <c r="AA35" s="53"/>
      <c r="AB35" s="16"/>
      <c r="AC35" s="53"/>
      <c r="AD35" s="16"/>
    </row>
    <row r="36" spans="1:30" ht="15.75" x14ac:dyDescent="0.25">
      <c r="A36" s="16">
        <v>33</v>
      </c>
      <c r="B36" s="16" t="s">
        <v>626</v>
      </c>
      <c r="C36" s="16" t="s">
        <v>627</v>
      </c>
      <c r="D36" s="16" t="s">
        <v>613</v>
      </c>
      <c r="E36" s="16" t="s">
        <v>79</v>
      </c>
      <c r="F36" s="55">
        <f t="shared" si="0"/>
        <v>50000</v>
      </c>
      <c r="G36" s="53">
        <v>50000</v>
      </c>
      <c r="H36" s="16"/>
      <c r="I36" s="53"/>
      <c r="J36" s="16"/>
      <c r="K36" s="53"/>
      <c r="L36" s="16"/>
      <c r="M36" s="53"/>
      <c r="N36" s="16"/>
      <c r="O36" s="53"/>
      <c r="P36" s="16"/>
      <c r="Q36" s="53"/>
      <c r="R36" s="16"/>
      <c r="S36" s="53"/>
      <c r="T36" s="16"/>
      <c r="U36" s="53"/>
      <c r="V36" s="16"/>
      <c r="W36" s="53"/>
      <c r="X36" s="16"/>
      <c r="Y36" s="53"/>
      <c r="Z36" s="16"/>
      <c r="AA36" s="53"/>
      <c r="AB36" s="16"/>
      <c r="AC36" s="53"/>
      <c r="AD36" s="16"/>
    </row>
    <row r="37" spans="1:30" ht="15.75" x14ac:dyDescent="0.25">
      <c r="A37" s="16">
        <v>34</v>
      </c>
      <c r="B37" s="16" t="s">
        <v>628</v>
      </c>
      <c r="C37" s="16" t="s">
        <v>629</v>
      </c>
      <c r="D37" s="16" t="s">
        <v>613</v>
      </c>
      <c r="E37" s="16" t="s">
        <v>82</v>
      </c>
      <c r="F37" s="55">
        <f t="shared" si="0"/>
        <v>50000</v>
      </c>
      <c r="G37" s="53">
        <v>50000</v>
      </c>
      <c r="H37" s="16"/>
      <c r="I37" s="53"/>
      <c r="J37" s="16"/>
      <c r="K37" s="53"/>
      <c r="L37" s="16"/>
      <c r="M37" s="53"/>
      <c r="N37" s="16"/>
      <c r="O37" s="53"/>
      <c r="P37" s="16"/>
      <c r="Q37" s="53"/>
      <c r="R37" s="16"/>
      <c r="S37" s="53"/>
      <c r="T37" s="16"/>
      <c r="U37" s="53"/>
      <c r="V37" s="16"/>
      <c r="W37" s="53"/>
      <c r="X37" s="16"/>
      <c r="Y37" s="53"/>
      <c r="Z37" s="16"/>
      <c r="AA37" s="53"/>
      <c r="AB37" s="16"/>
      <c r="AC37" s="53"/>
      <c r="AD37" s="16"/>
    </row>
    <row r="38" spans="1:30" ht="15.75" x14ac:dyDescent="0.25">
      <c r="A38" s="16">
        <v>35</v>
      </c>
      <c r="B38" s="16" t="s">
        <v>630</v>
      </c>
      <c r="C38" s="16" t="s">
        <v>631</v>
      </c>
      <c r="D38" s="16" t="s">
        <v>613</v>
      </c>
      <c r="E38" s="16" t="s">
        <v>151</v>
      </c>
      <c r="F38" s="55">
        <f t="shared" si="0"/>
        <v>50000</v>
      </c>
      <c r="G38" s="53">
        <v>50000</v>
      </c>
      <c r="H38" s="16"/>
      <c r="I38" s="53"/>
      <c r="J38" s="16"/>
      <c r="K38" s="53"/>
      <c r="L38" s="16"/>
      <c r="M38" s="53"/>
      <c r="N38" s="16"/>
      <c r="O38" s="53"/>
      <c r="P38" s="16"/>
      <c r="Q38" s="53"/>
      <c r="R38" s="16"/>
      <c r="S38" s="53"/>
      <c r="T38" s="16"/>
      <c r="U38" s="53"/>
      <c r="V38" s="16"/>
      <c r="W38" s="53"/>
      <c r="X38" s="16"/>
      <c r="Y38" s="53"/>
      <c r="Z38" s="16"/>
      <c r="AA38" s="53"/>
      <c r="AB38" s="16"/>
      <c r="AC38" s="53"/>
      <c r="AD38" s="16"/>
    </row>
    <row r="39" spans="1:30" ht="15.75" x14ac:dyDescent="0.25">
      <c r="A39" s="16">
        <v>36</v>
      </c>
      <c r="B39" s="16" t="s">
        <v>632</v>
      </c>
      <c r="C39" s="16" t="s">
        <v>633</v>
      </c>
      <c r="D39" s="16" t="s">
        <v>613</v>
      </c>
      <c r="E39" s="16" t="s">
        <v>97</v>
      </c>
      <c r="F39" s="55">
        <f t="shared" si="0"/>
        <v>50000</v>
      </c>
      <c r="G39" s="53">
        <v>50000</v>
      </c>
      <c r="H39" s="16"/>
      <c r="I39" s="53"/>
      <c r="J39" s="16"/>
      <c r="K39" s="53"/>
      <c r="L39" s="16"/>
      <c r="M39" s="53"/>
      <c r="N39" s="16"/>
      <c r="O39" s="53"/>
      <c r="P39" s="16"/>
      <c r="Q39" s="53"/>
      <c r="R39" s="16"/>
      <c r="S39" s="53"/>
      <c r="T39" s="16"/>
      <c r="U39" s="53"/>
      <c r="V39" s="16"/>
      <c r="W39" s="53"/>
      <c r="X39" s="16"/>
      <c r="Y39" s="53"/>
      <c r="Z39" s="16"/>
      <c r="AA39" s="53"/>
      <c r="AB39" s="16"/>
      <c r="AC39" s="53"/>
      <c r="AD39" s="16"/>
    </row>
    <row r="40" spans="1:30" ht="15.75" x14ac:dyDescent="0.25">
      <c r="A40" s="16">
        <v>37</v>
      </c>
      <c r="B40" s="16" t="s">
        <v>634</v>
      </c>
      <c r="C40" s="16" t="s">
        <v>635</v>
      </c>
      <c r="D40" s="16" t="s">
        <v>613</v>
      </c>
      <c r="E40" s="16" t="s">
        <v>109</v>
      </c>
      <c r="F40" s="55">
        <f t="shared" si="0"/>
        <v>50000</v>
      </c>
      <c r="G40" s="53">
        <v>50000</v>
      </c>
      <c r="H40" s="16"/>
      <c r="I40" s="53"/>
      <c r="J40" s="16"/>
      <c r="K40" s="53"/>
      <c r="L40" s="16"/>
      <c r="M40" s="53"/>
      <c r="N40" s="16"/>
      <c r="O40" s="53"/>
      <c r="P40" s="16"/>
      <c r="Q40" s="53"/>
      <c r="R40" s="16"/>
      <c r="S40" s="53"/>
      <c r="T40" s="16"/>
      <c r="U40" s="53"/>
      <c r="V40" s="16"/>
      <c r="W40" s="53"/>
      <c r="X40" s="16"/>
      <c r="Y40" s="53"/>
      <c r="Z40" s="16"/>
      <c r="AA40" s="53"/>
      <c r="AB40" s="16"/>
      <c r="AC40" s="53"/>
      <c r="AD40" s="16"/>
    </row>
    <row r="41" spans="1:30" ht="15.75" x14ac:dyDescent="0.25">
      <c r="A41" s="16">
        <v>38</v>
      </c>
      <c r="B41" s="16" t="s">
        <v>636</v>
      </c>
      <c r="C41" s="16" t="s">
        <v>637</v>
      </c>
      <c r="D41" s="16" t="s">
        <v>24</v>
      </c>
      <c r="E41" s="16" t="s">
        <v>162</v>
      </c>
      <c r="F41" s="55">
        <f t="shared" si="0"/>
        <v>50000</v>
      </c>
      <c r="G41" s="53">
        <v>50000</v>
      </c>
      <c r="H41" s="16"/>
      <c r="I41" s="53"/>
      <c r="J41" s="16"/>
      <c r="K41" s="53"/>
      <c r="L41" s="16"/>
      <c r="M41" s="53"/>
      <c r="N41" s="16"/>
      <c r="O41" s="53"/>
      <c r="P41" s="16"/>
      <c r="Q41" s="53"/>
      <c r="R41" s="16"/>
      <c r="S41" s="53"/>
      <c r="T41" s="16"/>
      <c r="U41" s="53"/>
      <c r="V41" s="16"/>
      <c r="W41" s="53"/>
      <c r="X41" s="16"/>
      <c r="Y41" s="53"/>
      <c r="Z41" s="16"/>
      <c r="AA41" s="53"/>
      <c r="AB41" s="16"/>
      <c r="AC41" s="53"/>
      <c r="AD41" s="16"/>
    </row>
    <row r="42" spans="1:30" ht="15.75" x14ac:dyDescent="0.25">
      <c r="A42" s="16">
        <v>39</v>
      </c>
      <c r="B42" s="16" t="s">
        <v>638</v>
      </c>
      <c r="C42" s="16" t="s">
        <v>639</v>
      </c>
      <c r="D42" s="16" t="s">
        <v>613</v>
      </c>
      <c r="E42" s="16" t="s">
        <v>165</v>
      </c>
      <c r="F42" s="55">
        <f t="shared" si="0"/>
        <v>50000</v>
      </c>
      <c r="G42" s="53">
        <v>50000</v>
      </c>
      <c r="H42" s="16"/>
      <c r="I42" s="53"/>
      <c r="J42" s="16"/>
      <c r="K42" s="53"/>
      <c r="L42" s="16"/>
      <c r="M42" s="53"/>
      <c r="N42" s="16"/>
      <c r="O42" s="53"/>
      <c r="P42" s="16"/>
      <c r="Q42" s="53"/>
      <c r="R42" s="16"/>
      <c r="S42" s="53"/>
      <c r="T42" s="16"/>
      <c r="U42" s="53"/>
      <c r="V42" s="16"/>
      <c r="W42" s="53"/>
      <c r="X42" s="16"/>
      <c r="Y42" s="53"/>
      <c r="Z42" s="16"/>
      <c r="AA42" s="53"/>
      <c r="AB42" s="16"/>
      <c r="AC42" s="53"/>
      <c r="AD42" s="16"/>
    </row>
    <row r="43" spans="1:30" ht="15.75" x14ac:dyDescent="0.25">
      <c r="A43" s="16">
        <v>40</v>
      </c>
      <c r="B43" s="16" t="s">
        <v>640</v>
      </c>
      <c r="C43" s="16" t="s">
        <v>641</v>
      </c>
      <c r="D43" s="16" t="s">
        <v>613</v>
      </c>
      <c r="E43" s="16" t="s">
        <v>168</v>
      </c>
      <c r="F43" s="55">
        <f t="shared" si="0"/>
        <v>50000</v>
      </c>
      <c r="G43" s="53">
        <v>50000</v>
      </c>
      <c r="H43" s="16"/>
      <c r="I43" s="53"/>
      <c r="J43" s="16"/>
      <c r="K43" s="53"/>
      <c r="L43" s="16"/>
      <c r="M43" s="53"/>
      <c r="N43" s="16"/>
      <c r="O43" s="53"/>
      <c r="P43" s="16"/>
      <c r="Q43" s="53"/>
      <c r="R43" s="16"/>
      <c r="S43" s="53"/>
      <c r="T43" s="16"/>
      <c r="U43" s="53"/>
      <c r="V43" s="16"/>
      <c r="W43" s="53"/>
      <c r="X43" s="16"/>
      <c r="Y43" s="53"/>
      <c r="Z43" s="16"/>
      <c r="AA43" s="53"/>
      <c r="AB43" s="16"/>
      <c r="AC43" s="53"/>
      <c r="AD43" s="16"/>
    </row>
    <row r="44" spans="1:30" ht="15.75" x14ac:dyDescent="0.25">
      <c r="A44" s="16">
        <v>41</v>
      </c>
      <c r="B44" s="16" t="s">
        <v>642</v>
      </c>
      <c r="C44" s="16" t="s">
        <v>643</v>
      </c>
      <c r="D44" s="16" t="s">
        <v>613</v>
      </c>
      <c r="E44" s="16" t="s">
        <v>644</v>
      </c>
      <c r="F44" s="55">
        <f t="shared" si="0"/>
        <v>50000</v>
      </c>
      <c r="G44" s="53">
        <v>50000</v>
      </c>
      <c r="H44" s="16"/>
      <c r="I44" s="53"/>
      <c r="J44" s="16"/>
      <c r="K44" s="53"/>
      <c r="L44" s="16"/>
      <c r="M44" s="53"/>
      <c r="N44" s="16"/>
      <c r="O44" s="53"/>
      <c r="P44" s="16"/>
      <c r="Q44" s="53"/>
      <c r="R44" s="16"/>
      <c r="S44" s="53"/>
      <c r="T44" s="16"/>
      <c r="U44" s="53"/>
      <c r="V44" s="16"/>
      <c r="W44" s="53"/>
      <c r="X44" s="16"/>
      <c r="Y44" s="53"/>
      <c r="Z44" s="16"/>
      <c r="AA44" s="53"/>
      <c r="AB44" s="16"/>
      <c r="AC44" s="53"/>
      <c r="AD44" s="16"/>
    </row>
    <row r="45" spans="1:30" ht="15.75" x14ac:dyDescent="0.25">
      <c r="A45" s="16">
        <v>42</v>
      </c>
      <c r="B45" s="16" t="s">
        <v>645</v>
      </c>
      <c r="C45" s="16" t="s">
        <v>646</v>
      </c>
      <c r="D45" s="16" t="s">
        <v>613</v>
      </c>
      <c r="E45" s="16" t="s">
        <v>177</v>
      </c>
      <c r="F45" s="55">
        <f t="shared" si="0"/>
        <v>0</v>
      </c>
      <c r="G45" s="53"/>
      <c r="H45" s="16"/>
      <c r="I45" s="53"/>
      <c r="J45" s="16"/>
      <c r="K45" s="53"/>
      <c r="L45" s="16"/>
      <c r="M45" s="53"/>
      <c r="N45" s="16"/>
      <c r="O45" s="53"/>
      <c r="P45" s="16"/>
      <c r="Q45" s="53"/>
      <c r="R45" s="16"/>
      <c r="S45" s="53"/>
      <c r="T45" s="16"/>
      <c r="U45" s="53"/>
      <c r="V45" s="16"/>
      <c r="W45" s="53"/>
      <c r="X45" s="16"/>
      <c r="Y45" s="53"/>
      <c r="Z45" s="16"/>
      <c r="AA45" s="53"/>
      <c r="AB45" s="16"/>
      <c r="AC45" s="53"/>
      <c r="AD45" s="16"/>
    </row>
    <row r="46" spans="1:30" ht="15.75" x14ac:dyDescent="0.25">
      <c r="A46" s="16">
        <v>43</v>
      </c>
      <c r="B46" s="16" t="s">
        <v>647</v>
      </c>
      <c r="C46" s="16" t="s">
        <v>648</v>
      </c>
      <c r="D46" s="16" t="s">
        <v>613</v>
      </c>
      <c r="E46" s="16" t="s">
        <v>181</v>
      </c>
      <c r="F46" s="55">
        <f t="shared" si="0"/>
        <v>50000</v>
      </c>
      <c r="G46" s="53">
        <v>50000</v>
      </c>
      <c r="H46" s="16"/>
      <c r="I46" s="53"/>
      <c r="J46" s="16"/>
      <c r="K46" s="53"/>
      <c r="L46" s="16"/>
      <c r="M46" s="53"/>
      <c r="N46" s="16"/>
      <c r="O46" s="53"/>
      <c r="P46" s="16"/>
      <c r="Q46" s="53"/>
      <c r="R46" s="16"/>
      <c r="S46" s="53"/>
      <c r="T46" s="16"/>
      <c r="U46" s="53"/>
      <c r="V46" s="16"/>
      <c r="W46" s="53"/>
      <c r="X46" s="16"/>
      <c r="Y46" s="53"/>
      <c r="Z46" s="16"/>
      <c r="AA46" s="53"/>
      <c r="AB46" s="16"/>
      <c r="AC46" s="53"/>
      <c r="AD46" s="16"/>
    </row>
    <row r="47" spans="1:30" ht="15.75" x14ac:dyDescent="0.25">
      <c r="A47" s="16">
        <v>44</v>
      </c>
      <c r="B47" s="16" t="s">
        <v>649</v>
      </c>
      <c r="C47" s="16" t="s">
        <v>650</v>
      </c>
      <c r="D47" s="16" t="s">
        <v>613</v>
      </c>
      <c r="E47" s="16" t="s">
        <v>187</v>
      </c>
      <c r="F47" s="55">
        <f t="shared" si="0"/>
        <v>50000</v>
      </c>
      <c r="G47" s="53">
        <v>50000</v>
      </c>
      <c r="H47" s="16"/>
      <c r="I47" s="53"/>
      <c r="J47" s="16"/>
      <c r="K47" s="53"/>
      <c r="L47" s="16"/>
      <c r="M47" s="53"/>
      <c r="N47" s="16"/>
      <c r="O47" s="53"/>
      <c r="P47" s="16"/>
      <c r="Q47" s="53"/>
      <c r="R47" s="16"/>
      <c r="S47" s="53"/>
      <c r="T47" s="16"/>
      <c r="U47" s="53"/>
      <c r="V47" s="16"/>
      <c r="W47" s="53"/>
      <c r="X47" s="16"/>
      <c r="Y47" s="53"/>
      <c r="Z47" s="16"/>
      <c r="AA47" s="53"/>
      <c r="AB47" s="16"/>
      <c r="AC47" s="53"/>
      <c r="AD47" s="16"/>
    </row>
    <row r="48" spans="1:30" ht="15.75" x14ac:dyDescent="0.25">
      <c r="A48" s="16">
        <v>45</v>
      </c>
      <c r="B48" s="16" t="s">
        <v>651</v>
      </c>
      <c r="C48" s="16" t="s">
        <v>652</v>
      </c>
      <c r="D48" s="16" t="s">
        <v>613</v>
      </c>
      <c r="E48" s="16" t="s">
        <v>190</v>
      </c>
      <c r="F48" s="55">
        <f t="shared" si="0"/>
        <v>50000</v>
      </c>
      <c r="G48" s="53">
        <v>50000</v>
      </c>
      <c r="H48" s="16"/>
      <c r="I48" s="53"/>
      <c r="J48" s="16"/>
      <c r="K48" s="53"/>
      <c r="L48" s="16"/>
      <c r="M48" s="53"/>
      <c r="N48" s="16"/>
      <c r="O48" s="53"/>
      <c r="P48" s="16"/>
      <c r="Q48" s="53"/>
      <c r="R48" s="16"/>
      <c r="S48" s="53"/>
      <c r="T48" s="16"/>
      <c r="U48" s="53"/>
      <c r="V48" s="16"/>
      <c r="W48" s="53"/>
      <c r="X48" s="16"/>
      <c r="Y48" s="53"/>
      <c r="Z48" s="16"/>
      <c r="AA48" s="53"/>
      <c r="AB48" s="16"/>
      <c r="AC48" s="53"/>
      <c r="AD48" s="16"/>
    </row>
    <row r="49" spans="1:30" ht="15.75" x14ac:dyDescent="0.25">
      <c r="A49" s="16">
        <v>46</v>
      </c>
      <c r="B49" s="16" t="s">
        <v>653</v>
      </c>
      <c r="C49" s="16" t="s">
        <v>654</v>
      </c>
      <c r="D49" s="16" t="s">
        <v>613</v>
      </c>
      <c r="E49" s="16" t="s">
        <v>381</v>
      </c>
      <c r="F49" s="55">
        <f t="shared" si="0"/>
        <v>50000</v>
      </c>
      <c r="G49" s="53">
        <v>50000</v>
      </c>
      <c r="H49" s="16"/>
      <c r="I49" s="53"/>
      <c r="J49" s="16"/>
      <c r="K49" s="53"/>
      <c r="L49" s="16"/>
      <c r="M49" s="53"/>
      <c r="N49" s="16"/>
      <c r="O49" s="53"/>
      <c r="P49" s="16"/>
      <c r="Q49" s="53"/>
      <c r="R49" s="16"/>
      <c r="S49" s="53"/>
      <c r="T49" s="16"/>
      <c r="U49" s="53"/>
      <c r="V49" s="16"/>
      <c r="W49" s="53"/>
      <c r="X49" s="16"/>
      <c r="Y49" s="53"/>
      <c r="Z49" s="16"/>
      <c r="AA49" s="53"/>
      <c r="AB49" s="16"/>
      <c r="AC49" s="53"/>
      <c r="AD49" s="16"/>
    </row>
    <row r="50" spans="1:30" ht="15.75" x14ac:dyDescent="0.25">
      <c r="A50" s="16">
        <v>47</v>
      </c>
      <c r="B50" s="16" t="s">
        <v>655</v>
      </c>
      <c r="C50" s="16" t="s">
        <v>656</v>
      </c>
      <c r="D50" s="16" t="s">
        <v>613</v>
      </c>
      <c r="E50" s="16" t="s">
        <v>385</v>
      </c>
      <c r="F50" s="55">
        <f t="shared" si="0"/>
        <v>50000</v>
      </c>
      <c r="G50" s="53">
        <v>50000</v>
      </c>
      <c r="H50" s="16"/>
      <c r="I50" s="53"/>
      <c r="J50" s="16"/>
      <c r="K50" s="53"/>
      <c r="L50" s="16"/>
      <c r="M50" s="53"/>
      <c r="N50" s="16"/>
      <c r="O50" s="53"/>
      <c r="P50" s="16"/>
      <c r="Q50" s="53"/>
      <c r="R50" s="16"/>
      <c r="S50" s="53"/>
      <c r="T50" s="16"/>
      <c r="U50" s="53"/>
      <c r="V50" s="16"/>
      <c r="W50" s="53"/>
      <c r="X50" s="16"/>
      <c r="Y50" s="53"/>
      <c r="Z50" s="16"/>
      <c r="AA50" s="53"/>
      <c r="AB50" s="16"/>
      <c r="AC50" s="53"/>
      <c r="AD50" s="16"/>
    </row>
    <row r="51" spans="1:30" ht="15.75" x14ac:dyDescent="0.25">
      <c r="A51" s="16">
        <v>48</v>
      </c>
      <c r="B51" s="16" t="s">
        <v>657</v>
      </c>
      <c r="C51" s="16" t="s">
        <v>658</v>
      </c>
      <c r="D51" s="16" t="s">
        <v>613</v>
      </c>
      <c r="E51" s="16" t="s">
        <v>389</v>
      </c>
      <c r="F51" s="55">
        <f t="shared" si="0"/>
        <v>50000</v>
      </c>
      <c r="G51" s="53">
        <v>50000</v>
      </c>
      <c r="H51" s="16"/>
      <c r="I51" s="53"/>
      <c r="J51" s="16"/>
      <c r="K51" s="53"/>
      <c r="L51" s="16"/>
      <c r="M51" s="53"/>
      <c r="N51" s="16"/>
      <c r="O51" s="53"/>
      <c r="P51" s="16"/>
      <c r="Q51" s="53"/>
      <c r="R51" s="16"/>
      <c r="S51" s="53"/>
      <c r="T51" s="16"/>
      <c r="U51" s="53"/>
      <c r="V51" s="16"/>
      <c r="W51" s="53"/>
      <c r="X51" s="16"/>
      <c r="Y51" s="53"/>
      <c r="Z51" s="16"/>
      <c r="AA51" s="53"/>
      <c r="AB51" s="16"/>
      <c r="AC51" s="53"/>
      <c r="AD51" s="16"/>
    </row>
    <row r="52" spans="1:30" ht="15.75" x14ac:dyDescent="0.25">
      <c r="A52" s="16">
        <v>49</v>
      </c>
      <c r="B52" s="16" t="s">
        <v>659</v>
      </c>
      <c r="C52" s="16" t="s">
        <v>660</v>
      </c>
      <c r="D52" s="16" t="s">
        <v>613</v>
      </c>
      <c r="E52" s="16" t="s">
        <v>393</v>
      </c>
      <c r="F52" s="55">
        <f t="shared" si="0"/>
        <v>50000</v>
      </c>
      <c r="G52" s="53">
        <v>50000</v>
      </c>
      <c r="H52" s="16"/>
      <c r="I52" s="53"/>
      <c r="J52" s="16"/>
      <c r="K52" s="53"/>
      <c r="L52" s="16"/>
      <c r="M52" s="53"/>
      <c r="N52" s="16"/>
      <c r="O52" s="53"/>
      <c r="P52" s="16"/>
      <c r="Q52" s="53"/>
      <c r="R52" s="16"/>
      <c r="S52" s="53"/>
      <c r="T52" s="16"/>
      <c r="U52" s="53"/>
      <c r="V52" s="16"/>
      <c r="W52" s="53"/>
      <c r="X52" s="16"/>
      <c r="Y52" s="53"/>
      <c r="Z52" s="16"/>
      <c r="AA52" s="53"/>
      <c r="AB52" s="16"/>
      <c r="AC52" s="53"/>
      <c r="AD52" s="16"/>
    </row>
    <row r="53" spans="1:30" ht="15.75" x14ac:dyDescent="0.25">
      <c r="A53" s="16">
        <v>50</v>
      </c>
      <c r="B53" s="16" t="s">
        <v>661</v>
      </c>
      <c r="C53" s="16" t="s">
        <v>662</v>
      </c>
      <c r="D53" s="16" t="s">
        <v>613</v>
      </c>
      <c r="E53" s="16" t="s">
        <v>663</v>
      </c>
      <c r="F53" s="55">
        <f t="shared" si="0"/>
        <v>50000</v>
      </c>
      <c r="G53" s="53">
        <v>50000</v>
      </c>
      <c r="H53" s="16"/>
      <c r="I53" s="53"/>
      <c r="J53" s="16"/>
      <c r="K53" s="53"/>
      <c r="L53" s="16"/>
      <c r="M53" s="53"/>
      <c r="N53" s="16"/>
      <c r="O53" s="53"/>
      <c r="P53" s="16"/>
      <c r="Q53" s="53"/>
      <c r="R53" s="16"/>
      <c r="S53" s="53"/>
      <c r="T53" s="16"/>
      <c r="U53" s="53"/>
      <c r="V53" s="16"/>
      <c r="W53" s="53"/>
      <c r="X53" s="16"/>
      <c r="Y53" s="53"/>
      <c r="Z53" s="16"/>
      <c r="AA53" s="53"/>
      <c r="AB53" s="16"/>
      <c r="AC53" s="53"/>
      <c r="AD53" s="16"/>
    </row>
    <row r="54" spans="1:30" ht="15.75" x14ac:dyDescent="0.25">
      <c r="A54" s="16">
        <v>51</v>
      </c>
      <c r="B54" s="16" t="s">
        <v>664</v>
      </c>
      <c r="C54" s="56" t="s">
        <v>665</v>
      </c>
      <c r="D54" s="16" t="s">
        <v>666</v>
      </c>
      <c r="E54" s="16" t="s">
        <v>97</v>
      </c>
      <c r="F54" s="55">
        <f t="shared" si="0"/>
        <v>50000</v>
      </c>
      <c r="G54" s="53">
        <v>50000</v>
      </c>
      <c r="H54" s="16"/>
      <c r="I54" s="53"/>
      <c r="J54" s="16"/>
      <c r="K54" s="53"/>
      <c r="L54" s="16"/>
      <c r="M54" s="53"/>
      <c r="N54" s="16"/>
      <c r="O54" s="53"/>
      <c r="P54" s="16"/>
      <c r="Q54" s="53"/>
      <c r="R54" s="16"/>
      <c r="S54" s="53"/>
      <c r="T54" s="16"/>
      <c r="U54" s="53"/>
      <c r="V54" s="16"/>
      <c r="W54" s="53"/>
      <c r="X54" s="16"/>
      <c r="Y54" s="53"/>
      <c r="Z54" s="16"/>
      <c r="AA54" s="53"/>
      <c r="AB54" s="16"/>
      <c r="AC54" s="53"/>
      <c r="AD54" s="16"/>
    </row>
    <row r="55" spans="1:30" ht="15.75" x14ac:dyDescent="0.25">
      <c r="A55" s="16">
        <v>52</v>
      </c>
      <c r="B55" s="16" t="s">
        <v>667</v>
      </c>
      <c r="C55" s="16" t="s">
        <v>668</v>
      </c>
      <c r="D55" s="16" t="s">
        <v>666</v>
      </c>
      <c r="E55" s="16" t="s">
        <v>101</v>
      </c>
      <c r="F55" s="55">
        <f t="shared" si="0"/>
        <v>50000</v>
      </c>
      <c r="G55" s="53">
        <v>50000</v>
      </c>
      <c r="H55" s="16"/>
      <c r="I55" s="53"/>
      <c r="J55" s="16"/>
      <c r="K55" s="53"/>
      <c r="L55" s="16"/>
      <c r="M55" s="53"/>
      <c r="N55" s="16"/>
      <c r="O55" s="53"/>
      <c r="P55" s="16"/>
      <c r="Q55" s="53"/>
      <c r="R55" s="16"/>
      <c r="S55" s="53"/>
      <c r="T55" s="16"/>
      <c r="U55" s="53"/>
      <c r="V55" s="16"/>
      <c r="W55" s="53"/>
      <c r="X55" s="16"/>
      <c r="Y55" s="53"/>
      <c r="Z55" s="16"/>
      <c r="AA55" s="53"/>
      <c r="AB55" s="16"/>
      <c r="AC55" s="53"/>
      <c r="AD55" s="16"/>
    </row>
    <row r="56" spans="1:30" ht="15.75" x14ac:dyDescent="0.25">
      <c r="A56" s="16">
        <v>53</v>
      </c>
      <c r="B56" s="16" t="s">
        <v>669</v>
      </c>
      <c r="C56" s="16" t="s">
        <v>670</v>
      </c>
      <c r="D56" s="16" t="s">
        <v>666</v>
      </c>
      <c r="E56" s="16" t="s">
        <v>109</v>
      </c>
      <c r="F56" s="55">
        <f t="shared" si="0"/>
        <v>50000</v>
      </c>
      <c r="G56" s="53">
        <v>50000</v>
      </c>
      <c r="H56" s="16"/>
      <c r="I56" s="53"/>
      <c r="J56" s="16"/>
      <c r="K56" s="53"/>
      <c r="L56" s="16"/>
      <c r="M56" s="53"/>
      <c r="N56" s="16"/>
      <c r="O56" s="53"/>
      <c r="P56" s="16"/>
      <c r="Q56" s="53"/>
      <c r="R56" s="16"/>
      <c r="S56" s="53"/>
      <c r="T56" s="16"/>
      <c r="U56" s="53"/>
      <c r="V56" s="16"/>
      <c r="W56" s="53"/>
      <c r="X56" s="16"/>
      <c r="Y56" s="53"/>
      <c r="Z56" s="16"/>
      <c r="AA56" s="53"/>
      <c r="AB56" s="16"/>
      <c r="AC56" s="53"/>
      <c r="AD56" s="16"/>
    </row>
    <row r="57" spans="1:30" ht="15.75" x14ac:dyDescent="0.25">
      <c r="A57" s="16">
        <v>54</v>
      </c>
      <c r="B57" s="16" t="s">
        <v>671</v>
      </c>
      <c r="C57" s="16" t="s">
        <v>672</v>
      </c>
      <c r="D57" s="16" t="s">
        <v>666</v>
      </c>
      <c r="E57" s="16" t="s">
        <v>240</v>
      </c>
      <c r="F57" s="55">
        <f t="shared" si="0"/>
        <v>50000</v>
      </c>
      <c r="G57" s="53">
        <v>50000</v>
      </c>
      <c r="H57" s="16"/>
      <c r="I57" s="53"/>
      <c r="J57" s="16"/>
      <c r="K57" s="53"/>
      <c r="L57" s="16"/>
      <c r="M57" s="53"/>
      <c r="N57" s="16"/>
      <c r="O57" s="53"/>
      <c r="P57" s="16"/>
      <c r="Q57" s="53"/>
      <c r="R57" s="16"/>
      <c r="S57" s="53"/>
      <c r="T57" s="16"/>
      <c r="U57" s="53"/>
      <c r="V57" s="16"/>
      <c r="W57" s="53"/>
      <c r="X57" s="16"/>
      <c r="Y57" s="53"/>
      <c r="Z57" s="16"/>
      <c r="AA57" s="53"/>
      <c r="AB57" s="16"/>
      <c r="AC57" s="53"/>
      <c r="AD57" s="16"/>
    </row>
    <row r="58" spans="1:30" ht="15.75" x14ac:dyDescent="0.25">
      <c r="A58" s="16">
        <v>55</v>
      </c>
      <c r="B58" s="16" t="s">
        <v>673</v>
      </c>
      <c r="C58" s="56" t="s">
        <v>674</v>
      </c>
      <c r="D58" s="16" t="s">
        <v>666</v>
      </c>
      <c r="E58" s="16" t="s">
        <v>675</v>
      </c>
      <c r="F58" s="55">
        <f t="shared" si="0"/>
        <v>50000</v>
      </c>
      <c r="G58" s="53">
        <v>50000</v>
      </c>
      <c r="H58" s="16"/>
      <c r="I58" s="53"/>
      <c r="J58" s="16"/>
      <c r="K58" s="53"/>
      <c r="L58" s="16"/>
      <c r="M58" s="53"/>
      <c r="N58" s="16"/>
      <c r="O58" s="53"/>
      <c r="P58" s="16"/>
      <c r="Q58" s="53"/>
      <c r="R58" s="16"/>
      <c r="S58" s="53"/>
      <c r="T58" s="16"/>
      <c r="U58" s="53"/>
      <c r="V58" s="16"/>
      <c r="W58" s="53"/>
      <c r="X58" s="16"/>
      <c r="Y58" s="53"/>
      <c r="Z58" s="16"/>
      <c r="AA58" s="53"/>
      <c r="AB58" s="16"/>
      <c r="AC58" s="53"/>
      <c r="AD58" s="16"/>
    </row>
    <row r="59" spans="1:30" ht="15.75" x14ac:dyDescent="0.25">
      <c r="A59" s="16">
        <v>56</v>
      </c>
      <c r="B59" s="16" t="s">
        <v>676</v>
      </c>
      <c r="C59" s="16" t="s">
        <v>677</v>
      </c>
      <c r="D59" s="16" t="s">
        <v>666</v>
      </c>
      <c r="E59" s="16" t="s">
        <v>284</v>
      </c>
      <c r="F59" s="55">
        <f t="shared" si="0"/>
        <v>50000</v>
      </c>
      <c r="G59" s="53">
        <v>50000</v>
      </c>
      <c r="H59" s="16"/>
      <c r="I59" s="53"/>
      <c r="J59" s="16"/>
      <c r="K59" s="53"/>
      <c r="L59" s="16"/>
      <c r="M59" s="53"/>
      <c r="N59" s="16"/>
      <c r="O59" s="53"/>
      <c r="P59" s="16"/>
      <c r="Q59" s="53"/>
      <c r="R59" s="16"/>
      <c r="S59" s="53"/>
      <c r="T59" s="16"/>
      <c r="U59" s="53"/>
      <c r="V59" s="16"/>
      <c r="W59" s="53"/>
      <c r="X59" s="16"/>
      <c r="Y59" s="53"/>
      <c r="Z59" s="16"/>
      <c r="AA59" s="53"/>
      <c r="AB59" s="16"/>
      <c r="AC59" s="53"/>
      <c r="AD59" s="16"/>
    </row>
    <row r="60" spans="1:30" ht="15.75" x14ac:dyDescent="0.25">
      <c r="A60" s="16">
        <v>57</v>
      </c>
      <c r="B60" s="16" t="s">
        <v>678</v>
      </c>
      <c r="C60" s="16" t="s">
        <v>679</v>
      </c>
      <c r="D60" s="16" t="s">
        <v>666</v>
      </c>
      <c r="E60" s="16" t="s">
        <v>306</v>
      </c>
      <c r="F60" s="55">
        <f t="shared" si="0"/>
        <v>50000</v>
      </c>
      <c r="G60" s="53">
        <v>50000</v>
      </c>
      <c r="H60" s="16"/>
      <c r="I60" s="53"/>
      <c r="J60" s="16"/>
      <c r="K60" s="53"/>
      <c r="L60" s="16"/>
      <c r="M60" s="53"/>
      <c r="N60" s="16"/>
      <c r="O60" s="53"/>
      <c r="P60" s="16"/>
      <c r="Q60" s="53"/>
      <c r="R60" s="16"/>
      <c r="S60" s="53"/>
      <c r="T60" s="16"/>
      <c r="U60" s="53"/>
      <c r="V60" s="16"/>
      <c r="W60" s="53"/>
      <c r="X60" s="16"/>
      <c r="Y60" s="53"/>
      <c r="Z60" s="16"/>
      <c r="AA60" s="53"/>
      <c r="AB60" s="16"/>
      <c r="AC60" s="53"/>
      <c r="AD60" s="16"/>
    </row>
    <row r="61" spans="1:30" ht="15.75" x14ac:dyDescent="0.25">
      <c r="A61" s="16">
        <v>58</v>
      </c>
      <c r="B61" s="16" t="s">
        <v>680</v>
      </c>
      <c r="C61" s="16" t="s">
        <v>681</v>
      </c>
      <c r="D61" s="16" t="s">
        <v>666</v>
      </c>
      <c r="E61" s="16" t="s">
        <v>281</v>
      </c>
      <c r="F61" s="55">
        <f t="shared" si="0"/>
        <v>50000</v>
      </c>
      <c r="G61" s="53">
        <v>50000</v>
      </c>
      <c r="H61" s="16"/>
      <c r="I61" s="53"/>
      <c r="J61" s="16"/>
      <c r="K61" s="53"/>
      <c r="L61" s="16"/>
      <c r="M61" s="53"/>
      <c r="N61" s="16"/>
      <c r="O61" s="53"/>
      <c r="P61" s="16"/>
      <c r="Q61" s="53"/>
      <c r="R61" s="16"/>
      <c r="S61" s="53"/>
      <c r="T61" s="16"/>
      <c r="U61" s="53"/>
      <c r="V61" s="16"/>
      <c r="W61" s="53"/>
      <c r="X61" s="16"/>
      <c r="Y61" s="53"/>
      <c r="Z61" s="16"/>
      <c r="AA61" s="53"/>
      <c r="AB61" s="16"/>
      <c r="AC61" s="53"/>
      <c r="AD61" s="16"/>
    </row>
    <row r="62" spans="1:30" ht="15.75" x14ac:dyDescent="0.25">
      <c r="A62" s="16">
        <v>59</v>
      </c>
      <c r="B62" s="16" t="s">
        <v>682</v>
      </c>
      <c r="C62" s="16" t="s">
        <v>683</v>
      </c>
      <c r="D62" s="16" t="s">
        <v>666</v>
      </c>
      <c r="E62" s="16" t="s">
        <v>441</v>
      </c>
      <c r="F62" s="55">
        <f t="shared" si="0"/>
        <v>50000</v>
      </c>
      <c r="G62" s="53">
        <v>50000</v>
      </c>
      <c r="H62" s="16"/>
      <c r="I62" s="53"/>
      <c r="J62" s="16"/>
      <c r="K62" s="53"/>
      <c r="L62" s="16"/>
      <c r="M62" s="53"/>
      <c r="N62" s="16"/>
      <c r="O62" s="53"/>
      <c r="P62" s="16"/>
      <c r="Q62" s="53"/>
      <c r="R62" s="16"/>
      <c r="S62" s="53"/>
      <c r="T62" s="16"/>
      <c r="U62" s="53"/>
      <c r="V62" s="16"/>
      <c r="W62" s="53"/>
      <c r="X62" s="16"/>
      <c r="Y62" s="53"/>
      <c r="Z62" s="16"/>
      <c r="AA62" s="53"/>
      <c r="AB62" s="16"/>
      <c r="AC62" s="53"/>
      <c r="AD62" s="16"/>
    </row>
    <row r="63" spans="1:30" ht="15.75" x14ac:dyDescent="0.25">
      <c r="A63" s="16">
        <v>60</v>
      </c>
      <c r="B63" s="16" t="s">
        <v>684</v>
      </c>
      <c r="C63" s="16" t="s">
        <v>685</v>
      </c>
      <c r="D63" s="16" t="s">
        <v>666</v>
      </c>
      <c r="E63" s="16"/>
      <c r="F63" s="55">
        <f t="shared" si="0"/>
        <v>50000</v>
      </c>
      <c r="G63" s="53">
        <v>50000</v>
      </c>
      <c r="H63" s="16"/>
      <c r="I63" s="53"/>
      <c r="J63" s="16"/>
      <c r="K63" s="53"/>
      <c r="L63" s="16"/>
      <c r="M63" s="53"/>
      <c r="N63" s="16"/>
      <c r="O63" s="53"/>
      <c r="P63" s="16"/>
      <c r="Q63" s="53"/>
      <c r="R63" s="16"/>
      <c r="S63" s="53"/>
      <c r="T63" s="16"/>
      <c r="U63" s="53"/>
      <c r="V63" s="16"/>
      <c r="W63" s="53"/>
      <c r="X63" s="16"/>
      <c r="Y63" s="53"/>
      <c r="Z63" s="16"/>
      <c r="AA63" s="53"/>
      <c r="AB63" s="16"/>
      <c r="AC63" s="53"/>
      <c r="AD63" s="16"/>
    </row>
    <row r="64" spans="1:30" ht="15.75" x14ac:dyDescent="0.25">
      <c r="A64" s="16">
        <v>61</v>
      </c>
      <c r="B64" s="16" t="s">
        <v>686</v>
      </c>
      <c r="C64" s="16" t="s">
        <v>687</v>
      </c>
      <c r="D64" s="16" t="s">
        <v>666</v>
      </c>
      <c r="E64" s="16"/>
      <c r="F64" s="55">
        <f t="shared" si="0"/>
        <v>50000</v>
      </c>
      <c r="G64" s="57">
        <v>50000</v>
      </c>
      <c r="H64" s="16"/>
      <c r="I64" s="53"/>
      <c r="J64" s="16"/>
      <c r="K64" s="53"/>
      <c r="L64" s="16"/>
      <c r="M64" s="53"/>
      <c r="N64" s="16"/>
      <c r="O64" s="53"/>
      <c r="P64" s="16"/>
      <c r="Q64" s="53"/>
      <c r="R64" s="16"/>
      <c r="S64" s="53"/>
      <c r="T64" s="16"/>
      <c r="U64" s="53"/>
      <c r="V64" s="16"/>
      <c r="W64" s="53"/>
      <c r="X64" s="16"/>
      <c r="Y64" s="53"/>
      <c r="Z64" s="16"/>
      <c r="AA64" s="53"/>
      <c r="AB64" s="16"/>
      <c r="AC64" s="53"/>
      <c r="AD64" s="16"/>
    </row>
    <row r="65" spans="1:30" ht="15.75" x14ac:dyDescent="0.25">
      <c r="A65" s="16">
        <v>62</v>
      </c>
      <c r="B65" s="16" t="s">
        <v>688</v>
      </c>
      <c r="C65" s="16" t="s">
        <v>689</v>
      </c>
      <c r="D65" s="16" t="s">
        <v>24</v>
      </c>
      <c r="E65" s="16" t="s">
        <v>32</v>
      </c>
      <c r="F65" s="55"/>
      <c r="G65" s="57"/>
      <c r="H65" s="16"/>
      <c r="I65" s="53"/>
      <c r="J65" s="16"/>
      <c r="K65" s="53"/>
      <c r="L65" s="16"/>
      <c r="M65" s="53"/>
      <c r="N65" s="16"/>
      <c r="O65" s="53"/>
      <c r="P65" s="16"/>
      <c r="Q65" s="53"/>
      <c r="R65" s="16"/>
      <c r="S65" s="53"/>
      <c r="T65" s="16"/>
      <c r="U65" s="53"/>
      <c r="V65" s="16"/>
      <c r="W65" s="53"/>
      <c r="X65" s="16"/>
      <c r="Y65" s="53"/>
      <c r="Z65" s="16"/>
      <c r="AA65" s="53"/>
      <c r="AB65" s="16"/>
      <c r="AC65" s="53"/>
      <c r="AD65" s="16"/>
    </row>
    <row r="66" spans="1:30" x14ac:dyDescent="0.25">
      <c r="A66" s="16">
        <v>63</v>
      </c>
      <c r="B66" s="16"/>
      <c r="C66" s="16"/>
      <c r="D66" s="16"/>
      <c r="E66" s="16"/>
      <c r="F66" s="53"/>
      <c r="G66" s="53"/>
      <c r="H66" s="16"/>
      <c r="I66" s="53"/>
      <c r="J66" s="16"/>
      <c r="K66" s="53"/>
      <c r="L66" s="16"/>
      <c r="M66" s="53"/>
      <c r="N66" s="16"/>
      <c r="O66" s="53"/>
      <c r="P66" s="16"/>
      <c r="Q66" s="53"/>
      <c r="R66" s="16"/>
      <c r="S66" s="53"/>
      <c r="T66" s="16"/>
      <c r="U66" s="53"/>
      <c r="V66" s="16"/>
      <c r="W66" s="53"/>
      <c r="X66" s="16"/>
      <c r="Y66" s="53"/>
      <c r="Z66" s="16"/>
      <c r="AA66" s="53"/>
      <c r="AB66" s="16"/>
      <c r="AC66" s="53"/>
      <c r="AD66" s="16"/>
    </row>
    <row r="67" spans="1:30" x14ac:dyDescent="0.25">
      <c r="A67" s="16">
        <v>64</v>
      </c>
      <c r="B67" s="16"/>
      <c r="C67" s="16"/>
      <c r="D67" s="16"/>
      <c r="E67" s="16"/>
      <c r="F67" s="53">
        <f>SUM(F4:F64)</f>
        <v>2950000</v>
      </c>
      <c r="G67" s="53"/>
      <c r="H67" s="16" t="str">
        <f t="shared" ref="H67:H104" si="1">C67&amp; " -   " &amp;D67&amp; " " &amp;E67</f>
        <v xml:space="preserve"> -    </v>
      </c>
      <c r="I67" s="53"/>
      <c r="J67" s="16"/>
      <c r="K67" s="53"/>
      <c r="L67" s="16"/>
      <c r="M67" s="53"/>
      <c r="N67" s="16"/>
      <c r="O67" s="53"/>
      <c r="P67" s="16"/>
      <c r="Q67" s="53"/>
      <c r="R67" s="16"/>
      <c r="S67" s="53"/>
      <c r="T67" s="16"/>
      <c r="U67" s="53"/>
      <c r="V67" s="16"/>
      <c r="W67" s="53"/>
      <c r="X67" s="16"/>
      <c r="Y67" s="53"/>
      <c r="Z67" s="16"/>
      <c r="AA67" s="53"/>
      <c r="AB67" s="16"/>
      <c r="AC67" s="53"/>
      <c r="AD67" s="16"/>
    </row>
    <row r="68" spans="1:30" x14ac:dyDescent="0.25">
      <c r="A68" s="16">
        <v>65</v>
      </c>
      <c r="B68" s="16"/>
      <c r="C68" s="16"/>
      <c r="D68" s="16"/>
      <c r="E68" s="16"/>
      <c r="F68" s="53"/>
      <c r="G68" s="53"/>
      <c r="H68" s="16" t="str">
        <f t="shared" si="1"/>
        <v xml:space="preserve"> -    </v>
      </c>
      <c r="I68" s="53"/>
      <c r="J68" s="16"/>
      <c r="K68" s="53"/>
      <c r="L68" s="16"/>
      <c r="M68" s="53"/>
      <c r="N68" s="16"/>
      <c r="O68" s="53"/>
      <c r="P68" s="16"/>
      <c r="Q68" s="53"/>
      <c r="R68" s="16"/>
      <c r="S68" s="53"/>
      <c r="T68" s="16"/>
      <c r="U68" s="53"/>
      <c r="V68" s="16"/>
      <c r="W68" s="53"/>
      <c r="X68" s="16"/>
      <c r="Y68" s="53"/>
      <c r="Z68" s="16"/>
      <c r="AA68" s="53"/>
      <c r="AB68" s="16"/>
      <c r="AC68" s="53"/>
      <c r="AD68" s="16"/>
    </row>
    <row r="69" spans="1:30" x14ac:dyDescent="0.25">
      <c r="A69" s="16">
        <v>66</v>
      </c>
      <c r="B69" s="16"/>
      <c r="C69" s="16"/>
      <c r="D69" s="16"/>
      <c r="E69" s="16"/>
      <c r="F69" s="53"/>
      <c r="G69" s="53"/>
      <c r="H69" s="16" t="str">
        <f t="shared" si="1"/>
        <v xml:space="preserve"> -    </v>
      </c>
      <c r="I69" s="53"/>
      <c r="J69" s="16"/>
      <c r="K69" s="53"/>
      <c r="L69" s="16"/>
      <c r="M69" s="53"/>
      <c r="N69" s="16"/>
      <c r="O69" s="53"/>
      <c r="P69" s="16"/>
      <c r="Q69" s="53"/>
      <c r="R69" s="16"/>
      <c r="S69" s="53"/>
      <c r="T69" s="16"/>
      <c r="U69" s="53"/>
      <c r="V69" s="16"/>
      <c r="W69" s="53"/>
      <c r="X69" s="16"/>
      <c r="Y69" s="53"/>
      <c r="Z69" s="16"/>
      <c r="AA69" s="53"/>
      <c r="AB69" s="16"/>
      <c r="AC69" s="53"/>
      <c r="AD69" s="16"/>
    </row>
    <row r="70" spans="1:30" x14ac:dyDescent="0.25">
      <c r="A70" s="16">
        <v>67</v>
      </c>
      <c r="B70" s="16"/>
      <c r="C70" s="16"/>
      <c r="D70" s="16"/>
      <c r="E70" s="16"/>
      <c r="F70" s="53"/>
      <c r="G70" s="53"/>
      <c r="H70" s="16" t="str">
        <f t="shared" si="1"/>
        <v xml:space="preserve"> -    </v>
      </c>
      <c r="I70" s="53"/>
      <c r="J70" s="16"/>
      <c r="K70" s="53"/>
      <c r="L70" s="16"/>
      <c r="M70" s="53"/>
      <c r="N70" s="16"/>
      <c r="O70" s="53"/>
      <c r="P70" s="16"/>
      <c r="Q70" s="53"/>
      <c r="R70" s="16"/>
      <c r="S70" s="53"/>
      <c r="T70" s="16"/>
      <c r="U70" s="53"/>
      <c r="V70" s="16"/>
      <c r="W70" s="53"/>
      <c r="X70" s="16"/>
      <c r="Y70" s="53"/>
      <c r="Z70" s="16"/>
      <c r="AA70" s="53"/>
      <c r="AB70" s="16"/>
      <c r="AC70" s="53"/>
      <c r="AD70" s="16"/>
    </row>
    <row r="71" spans="1:30" x14ac:dyDescent="0.25">
      <c r="A71" s="16">
        <v>68</v>
      </c>
      <c r="B71" s="16"/>
      <c r="C71" s="16"/>
      <c r="D71" s="16"/>
      <c r="E71" s="16"/>
      <c r="F71" s="53"/>
      <c r="G71" s="53"/>
      <c r="H71" s="16" t="str">
        <f t="shared" si="1"/>
        <v xml:space="preserve"> -    </v>
      </c>
      <c r="I71" s="53"/>
      <c r="J71" s="16"/>
      <c r="K71" s="53"/>
      <c r="L71" s="16"/>
      <c r="M71" s="53"/>
      <c r="N71" s="16"/>
      <c r="O71" s="53"/>
      <c r="P71" s="16"/>
      <c r="Q71" s="53"/>
      <c r="R71" s="16"/>
      <c r="S71" s="53"/>
      <c r="T71" s="16"/>
      <c r="U71" s="53"/>
      <c r="V71" s="16"/>
      <c r="W71" s="53"/>
      <c r="X71" s="16"/>
      <c r="Y71" s="53"/>
      <c r="Z71" s="16"/>
      <c r="AA71" s="53"/>
      <c r="AB71" s="16"/>
      <c r="AC71" s="53"/>
      <c r="AD71" s="16"/>
    </row>
    <row r="72" spans="1:30" x14ac:dyDescent="0.25">
      <c r="A72" s="16">
        <v>69</v>
      </c>
      <c r="B72" s="16"/>
      <c r="C72" s="16"/>
      <c r="D72" s="16"/>
      <c r="E72" s="16"/>
      <c r="F72" s="53"/>
      <c r="G72" s="53"/>
      <c r="H72" s="16" t="str">
        <f t="shared" si="1"/>
        <v xml:space="preserve"> -    </v>
      </c>
      <c r="I72" s="53"/>
      <c r="J72" s="16"/>
      <c r="K72" s="53"/>
      <c r="L72" s="16"/>
      <c r="M72" s="53"/>
      <c r="N72" s="16"/>
      <c r="O72" s="53"/>
      <c r="P72" s="16"/>
      <c r="Q72" s="53"/>
      <c r="R72" s="16"/>
      <c r="S72" s="53"/>
      <c r="T72" s="16"/>
      <c r="U72" s="53"/>
      <c r="V72" s="16"/>
      <c r="W72" s="53"/>
      <c r="X72" s="16"/>
      <c r="Y72" s="53"/>
      <c r="Z72" s="16"/>
      <c r="AA72" s="53"/>
      <c r="AB72" s="16"/>
      <c r="AC72" s="53"/>
      <c r="AD72" s="16"/>
    </row>
    <row r="73" spans="1:30" x14ac:dyDescent="0.25">
      <c r="A73" s="16">
        <v>70</v>
      </c>
      <c r="B73" s="16"/>
      <c r="C73" s="16"/>
      <c r="D73" s="16"/>
      <c r="E73" s="16"/>
      <c r="F73" s="53"/>
      <c r="G73" s="53"/>
      <c r="H73" s="16" t="str">
        <f t="shared" si="1"/>
        <v xml:space="preserve"> -    </v>
      </c>
      <c r="I73" s="53"/>
      <c r="J73" s="16"/>
      <c r="K73" s="53"/>
      <c r="L73" s="16"/>
      <c r="M73" s="53"/>
      <c r="N73" s="16"/>
      <c r="O73" s="53"/>
      <c r="P73" s="16"/>
      <c r="Q73" s="53"/>
      <c r="R73" s="16"/>
      <c r="S73" s="53"/>
      <c r="T73" s="16"/>
      <c r="U73" s="53"/>
      <c r="V73" s="16"/>
      <c r="W73" s="53"/>
      <c r="X73" s="16"/>
      <c r="Y73" s="53"/>
      <c r="Z73" s="16"/>
      <c r="AA73" s="53"/>
      <c r="AB73" s="16"/>
      <c r="AC73" s="53"/>
      <c r="AD73" s="16"/>
    </row>
    <row r="74" spans="1:30" x14ac:dyDescent="0.25">
      <c r="A74" s="16">
        <v>71</v>
      </c>
      <c r="B74" s="16"/>
      <c r="C74" s="16"/>
      <c r="D74" s="16"/>
      <c r="E74" s="16"/>
      <c r="F74" s="53"/>
      <c r="G74" s="53"/>
      <c r="H74" s="16" t="str">
        <f t="shared" si="1"/>
        <v xml:space="preserve"> -    </v>
      </c>
      <c r="I74" s="53"/>
      <c r="J74" s="16"/>
      <c r="K74" s="53"/>
      <c r="L74" s="16"/>
      <c r="M74" s="53"/>
      <c r="N74" s="16"/>
      <c r="O74" s="53"/>
      <c r="P74" s="16"/>
      <c r="Q74" s="53"/>
      <c r="R74" s="16"/>
      <c r="S74" s="53"/>
      <c r="T74" s="16"/>
      <c r="U74" s="53"/>
      <c r="V74" s="16"/>
      <c r="W74" s="53"/>
      <c r="X74" s="16"/>
      <c r="Y74" s="53"/>
      <c r="Z74" s="16"/>
      <c r="AA74" s="53"/>
      <c r="AB74" s="16"/>
      <c r="AC74" s="53"/>
      <c r="AD74" s="16"/>
    </row>
    <row r="75" spans="1:30" x14ac:dyDescent="0.25">
      <c r="A75" s="16">
        <v>72</v>
      </c>
      <c r="B75" s="16"/>
      <c r="C75" s="16"/>
      <c r="D75" s="16"/>
      <c r="E75" s="16"/>
      <c r="F75" s="53"/>
      <c r="G75" s="53"/>
      <c r="H75" s="16" t="str">
        <f t="shared" si="1"/>
        <v xml:space="preserve"> -    </v>
      </c>
      <c r="I75" s="53"/>
      <c r="J75" s="16"/>
      <c r="K75" s="53"/>
      <c r="L75" s="16"/>
      <c r="M75" s="53"/>
      <c r="N75" s="16"/>
      <c r="O75" s="53"/>
      <c r="P75" s="16"/>
      <c r="Q75" s="53"/>
      <c r="R75" s="16"/>
      <c r="S75" s="53"/>
      <c r="T75" s="16"/>
      <c r="U75" s="53"/>
      <c r="V75" s="16"/>
      <c r="W75" s="53"/>
      <c r="X75" s="16"/>
      <c r="Y75" s="53"/>
      <c r="Z75" s="16"/>
      <c r="AA75" s="53"/>
      <c r="AB75" s="16"/>
      <c r="AC75" s="53"/>
      <c r="AD75" s="16"/>
    </row>
    <row r="76" spans="1:30" x14ac:dyDescent="0.25">
      <c r="A76" s="16">
        <v>73</v>
      </c>
      <c r="B76" s="16"/>
      <c r="C76" s="16"/>
      <c r="D76" s="16"/>
      <c r="E76" s="16"/>
      <c r="F76" s="53"/>
      <c r="G76" s="53"/>
      <c r="H76" s="16" t="str">
        <f t="shared" si="1"/>
        <v xml:space="preserve"> -    </v>
      </c>
      <c r="I76" s="53"/>
      <c r="J76" s="16"/>
      <c r="K76" s="53"/>
      <c r="L76" s="16"/>
      <c r="M76" s="53"/>
      <c r="N76" s="16"/>
      <c r="O76" s="53"/>
      <c r="P76" s="16"/>
      <c r="Q76" s="53"/>
      <c r="R76" s="16"/>
      <c r="S76" s="53"/>
      <c r="T76" s="16"/>
      <c r="U76" s="53"/>
      <c r="V76" s="16"/>
      <c r="W76" s="53"/>
      <c r="X76" s="16"/>
      <c r="Y76" s="53"/>
      <c r="Z76" s="16"/>
      <c r="AA76" s="53"/>
      <c r="AB76" s="16"/>
      <c r="AC76" s="53"/>
      <c r="AD76" s="16"/>
    </row>
    <row r="77" spans="1:30" x14ac:dyDescent="0.25">
      <c r="A77" s="16">
        <v>74</v>
      </c>
      <c r="B77" s="16"/>
      <c r="C77" s="16"/>
      <c r="D77" s="16"/>
      <c r="E77" s="16"/>
      <c r="F77" s="53"/>
      <c r="G77" s="53"/>
      <c r="H77" s="16" t="str">
        <f t="shared" si="1"/>
        <v xml:space="preserve"> -    </v>
      </c>
      <c r="I77" s="53"/>
      <c r="J77" s="16"/>
      <c r="K77" s="53"/>
      <c r="L77" s="16"/>
      <c r="M77" s="53"/>
      <c r="N77" s="16"/>
      <c r="O77" s="53"/>
      <c r="P77" s="16"/>
      <c r="Q77" s="53"/>
      <c r="R77" s="16"/>
      <c r="S77" s="53"/>
      <c r="T77" s="16"/>
      <c r="U77" s="53"/>
      <c r="V77" s="16"/>
      <c r="W77" s="53"/>
      <c r="X77" s="16"/>
      <c r="Y77" s="53"/>
      <c r="Z77" s="16"/>
      <c r="AA77" s="53"/>
      <c r="AB77" s="16"/>
      <c r="AC77" s="53"/>
      <c r="AD77" s="16"/>
    </row>
    <row r="78" spans="1:30" x14ac:dyDescent="0.25">
      <c r="A78" s="16">
        <v>75</v>
      </c>
      <c r="B78" s="16"/>
      <c r="C78" s="16"/>
      <c r="D78" s="16"/>
      <c r="E78" s="16"/>
      <c r="F78" s="53"/>
      <c r="G78" s="53"/>
      <c r="H78" s="16" t="str">
        <f t="shared" si="1"/>
        <v xml:space="preserve"> -    </v>
      </c>
      <c r="I78" s="53"/>
      <c r="J78" s="16"/>
      <c r="K78" s="53"/>
      <c r="L78" s="16"/>
      <c r="M78" s="53"/>
      <c r="N78" s="16"/>
      <c r="O78" s="53"/>
      <c r="P78" s="16"/>
      <c r="Q78" s="53"/>
      <c r="R78" s="16"/>
      <c r="S78" s="53"/>
      <c r="T78" s="16"/>
      <c r="U78" s="53"/>
      <c r="V78" s="16"/>
      <c r="W78" s="53"/>
      <c r="X78" s="16"/>
      <c r="Y78" s="53"/>
      <c r="Z78" s="16"/>
      <c r="AA78" s="53"/>
      <c r="AB78" s="16"/>
      <c r="AC78" s="53"/>
      <c r="AD78" s="16"/>
    </row>
    <row r="79" spans="1:30" x14ac:dyDescent="0.25">
      <c r="A79" s="16">
        <v>76</v>
      </c>
      <c r="B79" s="16"/>
      <c r="C79" s="16"/>
      <c r="D79" s="16"/>
      <c r="E79" s="16"/>
      <c r="F79" s="53"/>
      <c r="G79" s="53"/>
      <c r="H79" s="16" t="str">
        <f t="shared" si="1"/>
        <v xml:space="preserve"> -    </v>
      </c>
      <c r="I79" s="53"/>
      <c r="J79" s="16"/>
      <c r="K79" s="53"/>
      <c r="L79" s="16"/>
      <c r="M79" s="53"/>
      <c r="N79" s="16"/>
      <c r="O79" s="53"/>
      <c r="P79" s="16"/>
      <c r="Q79" s="53"/>
      <c r="R79" s="16"/>
      <c r="S79" s="53"/>
      <c r="T79" s="16"/>
      <c r="U79" s="53"/>
      <c r="V79" s="16"/>
      <c r="W79" s="53"/>
      <c r="X79" s="16"/>
      <c r="Y79" s="53"/>
      <c r="Z79" s="16"/>
      <c r="AA79" s="53"/>
      <c r="AB79" s="16"/>
      <c r="AC79" s="53"/>
      <c r="AD79" s="16"/>
    </row>
    <row r="80" spans="1:30" x14ac:dyDescent="0.25">
      <c r="A80" s="16">
        <v>77</v>
      </c>
      <c r="B80" s="16"/>
      <c r="C80" s="16"/>
      <c r="D80" s="16"/>
      <c r="E80" s="16"/>
      <c r="F80" s="53"/>
      <c r="G80" s="53"/>
      <c r="H80" s="16" t="str">
        <f t="shared" si="1"/>
        <v xml:space="preserve"> -    </v>
      </c>
      <c r="I80" s="53"/>
      <c r="J80" s="16"/>
      <c r="K80" s="53"/>
      <c r="L80" s="16"/>
      <c r="M80" s="53"/>
      <c r="N80" s="16"/>
      <c r="O80" s="53"/>
      <c r="P80" s="16"/>
      <c r="Q80" s="53"/>
      <c r="R80" s="16"/>
      <c r="S80" s="53"/>
      <c r="T80" s="16"/>
      <c r="U80" s="53"/>
      <c r="V80" s="16"/>
      <c r="W80" s="53"/>
      <c r="X80" s="16"/>
      <c r="Y80" s="53"/>
      <c r="Z80" s="16"/>
      <c r="AA80" s="53"/>
      <c r="AB80" s="16"/>
      <c r="AC80" s="53"/>
      <c r="AD80" s="16"/>
    </row>
    <row r="81" spans="1:30" x14ac:dyDescent="0.25">
      <c r="A81" s="16">
        <v>78</v>
      </c>
      <c r="B81" s="16"/>
      <c r="C81" s="16"/>
      <c r="D81" s="16"/>
      <c r="E81" s="16"/>
      <c r="F81" s="53"/>
      <c r="G81" s="53"/>
      <c r="H81" s="16" t="str">
        <f t="shared" si="1"/>
        <v xml:space="preserve"> -    </v>
      </c>
      <c r="I81" s="53"/>
      <c r="J81" s="16"/>
      <c r="K81" s="53"/>
      <c r="L81" s="16"/>
      <c r="M81" s="53"/>
      <c r="N81" s="16"/>
      <c r="O81" s="53"/>
      <c r="P81" s="16"/>
      <c r="Q81" s="53"/>
      <c r="R81" s="16"/>
      <c r="S81" s="53"/>
      <c r="T81" s="16"/>
      <c r="U81" s="53"/>
      <c r="V81" s="16"/>
      <c r="W81" s="53"/>
      <c r="X81" s="16"/>
      <c r="Y81" s="53"/>
      <c r="Z81" s="16"/>
      <c r="AA81" s="53"/>
      <c r="AB81" s="16"/>
      <c r="AC81" s="53"/>
      <c r="AD81" s="16"/>
    </row>
    <row r="82" spans="1:30" x14ac:dyDescent="0.25">
      <c r="A82" s="16">
        <v>79</v>
      </c>
      <c r="B82" s="16"/>
      <c r="C82" s="16"/>
      <c r="D82" s="16"/>
      <c r="E82" s="16"/>
      <c r="F82" s="53"/>
      <c r="G82" s="53"/>
      <c r="H82" s="16" t="str">
        <f t="shared" si="1"/>
        <v xml:space="preserve"> -    </v>
      </c>
      <c r="I82" s="53"/>
      <c r="J82" s="16"/>
      <c r="K82" s="53"/>
      <c r="L82" s="16"/>
      <c r="M82" s="53"/>
      <c r="N82" s="16"/>
      <c r="O82" s="53"/>
      <c r="P82" s="16"/>
      <c r="Q82" s="53"/>
      <c r="R82" s="16"/>
      <c r="S82" s="53"/>
      <c r="T82" s="16"/>
      <c r="U82" s="53"/>
      <c r="V82" s="16"/>
      <c r="W82" s="53"/>
      <c r="X82" s="16"/>
      <c r="Y82" s="53"/>
      <c r="Z82" s="16"/>
      <c r="AA82" s="53"/>
      <c r="AB82" s="16"/>
      <c r="AC82" s="53"/>
      <c r="AD82" s="16"/>
    </row>
    <row r="83" spans="1:30" x14ac:dyDescent="0.25">
      <c r="A83" s="16">
        <v>80</v>
      </c>
      <c r="B83" s="16"/>
      <c r="C83" s="16"/>
      <c r="D83" s="16"/>
      <c r="E83" s="16"/>
      <c r="F83" s="53"/>
      <c r="G83" s="53"/>
      <c r="H83" s="16" t="str">
        <f t="shared" si="1"/>
        <v xml:space="preserve"> -    </v>
      </c>
      <c r="I83" s="53"/>
      <c r="J83" s="16"/>
      <c r="K83" s="53"/>
      <c r="L83" s="16"/>
      <c r="M83" s="53"/>
      <c r="N83" s="16"/>
      <c r="O83" s="53"/>
      <c r="P83" s="16"/>
      <c r="Q83" s="53"/>
      <c r="R83" s="16"/>
      <c r="S83" s="53"/>
      <c r="T83" s="16"/>
      <c r="U83" s="53"/>
      <c r="V83" s="16"/>
      <c r="W83" s="53"/>
      <c r="X83" s="16"/>
      <c r="Y83" s="53"/>
      <c r="Z83" s="16"/>
      <c r="AA83" s="53"/>
      <c r="AB83" s="16"/>
      <c r="AC83" s="53"/>
      <c r="AD83" s="16"/>
    </row>
    <row r="84" spans="1:30" x14ac:dyDescent="0.25">
      <c r="A84" s="16">
        <v>81</v>
      </c>
      <c r="B84" s="16"/>
      <c r="C84" s="16"/>
      <c r="D84" s="16"/>
      <c r="E84" s="16"/>
      <c r="F84" s="53"/>
      <c r="G84" s="53"/>
      <c r="H84" s="16" t="str">
        <f t="shared" si="1"/>
        <v xml:space="preserve"> -    </v>
      </c>
      <c r="I84" s="53"/>
      <c r="J84" s="16"/>
      <c r="K84" s="53"/>
      <c r="L84" s="16"/>
      <c r="M84" s="53"/>
      <c r="N84" s="16"/>
      <c r="O84" s="53"/>
      <c r="P84" s="16"/>
      <c r="Q84" s="53"/>
      <c r="R84" s="16"/>
      <c r="S84" s="53"/>
      <c r="T84" s="16"/>
      <c r="U84" s="53"/>
      <c r="V84" s="16"/>
      <c r="W84" s="53"/>
      <c r="X84" s="16"/>
      <c r="Y84" s="53"/>
      <c r="Z84" s="16"/>
      <c r="AA84" s="53"/>
      <c r="AB84" s="16"/>
      <c r="AC84" s="53"/>
      <c r="AD84" s="16"/>
    </row>
    <row r="85" spans="1:30" x14ac:dyDescent="0.25">
      <c r="A85" s="16">
        <v>82</v>
      </c>
      <c r="B85" s="16"/>
      <c r="C85" s="16"/>
      <c r="D85" s="16"/>
      <c r="E85" s="16"/>
      <c r="F85" s="53"/>
      <c r="G85" s="53"/>
      <c r="H85" s="16" t="str">
        <f t="shared" si="1"/>
        <v xml:space="preserve"> -    </v>
      </c>
      <c r="I85" s="53"/>
      <c r="J85" s="16"/>
      <c r="K85" s="53"/>
      <c r="L85" s="16"/>
      <c r="M85" s="53"/>
      <c r="N85" s="16"/>
      <c r="O85" s="53"/>
      <c r="P85" s="16"/>
      <c r="Q85" s="53"/>
      <c r="R85" s="16"/>
      <c r="S85" s="53"/>
      <c r="T85" s="16"/>
      <c r="U85" s="53"/>
      <c r="V85" s="16"/>
      <c r="W85" s="53"/>
      <c r="X85" s="16"/>
      <c r="Y85" s="53"/>
      <c r="Z85" s="16"/>
      <c r="AA85" s="53"/>
      <c r="AB85" s="16"/>
      <c r="AC85" s="53"/>
      <c r="AD85" s="16"/>
    </row>
    <row r="86" spans="1:30" x14ac:dyDescent="0.25">
      <c r="A86" s="16">
        <v>83</v>
      </c>
      <c r="B86" s="16"/>
      <c r="C86" s="16"/>
      <c r="D86" s="16"/>
      <c r="E86" s="16"/>
      <c r="F86" s="53"/>
      <c r="G86" s="53"/>
      <c r="H86" s="16" t="str">
        <f t="shared" si="1"/>
        <v xml:space="preserve"> -    </v>
      </c>
      <c r="I86" s="53"/>
      <c r="J86" s="16"/>
      <c r="K86" s="53"/>
      <c r="L86" s="16"/>
      <c r="M86" s="53"/>
      <c r="N86" s="16"/>
      <c r="O86" s="53"/>
      <c r="P86" s="16"/>
      <c r="Q86" s="53"/>
      <c r="R86" s="16"/>
      <c r="S86" s="53"/>
      <c r="T86" s="16"/>
      <c r="U86" s="53"/>
      <c r="V86" s="16"/>
      <c r="W86" s="53"/>
      <c r="X86" s="16"/>
      <c r="Y86" s="53"/>
      <c r="Z86" s="16"/>
      <c r="AA86" s="53"/>
      <c r="AB86" s="16"/>
      <c r="AC86" s="53"/>
      <c r="AD86" s="16"/>
    </row>
    <row r="87" spans="1:30" x14ac:dyDescent="0.25">
      <c r="A87" s="16">
        <v>84</v>
      </c>
      <c r="B87" s="16"/>
      <c r="C87" s="16"/>
      <c r="D87" s="16"/>
      <c r="E87" s="16"/>
      <c r="F87" s="53"/>
      <c r="G87" s="53"/>
      <c r="H87" s="16" t="str">
        <f t="shared" si="1"/>
        <v xml:space="preserve"> -    </v>
      </c>
      <c r="I87" s="53"/>
      <c r="J87" s="16"/>
      <c r="K87" s="53"/>
      <c r="L87" s="16"/>
      <c r="M87" s="53"/>
      <c r="N87" s="16"/>
      <c r="O87" s="53"/>
      <c r="P87" s="16"/>
      <c r="Q87" s="53"/>
      <c r="R87" s="16"/>
      <c r="S87" s="53"/>
      <c r="T87" s="16"/>
      <c r="U87" s="53"/>
      <c r="V87" s="16"/>
      <c r="W87" s="53"/>
      <c r="X87" s="16"/>
      <c r="Y87" s="53"/>
      <c r="Z87" s="16"/>
      <c r="AA87" s="53"/>
      <c r="AB87" s="16"/>
      <c r="AC87" s="53"/>
      <c r="AD87" s="16"/>
    </row>
    <row r="88" spans="1:30" x14ac:dyDescent="0.25">
      <c r="A88" s="16">
        <v>85</v>
      </c>
      <c r="B88" s="16"/>
      <c r="C88" s="16"/>
      <c r="D88" s="16"/>
      <c r="E88" s="16"/>
      <c r="F88" s="53"/>
      <c r="G88" s="53"/>
      <c r="H88" s="16" t="str">
        <f t="shared" si="1"/>
        <v xml:space="preserve"> -    </v>
      </c>
      <c r="I88" s="53"/>
      <c r="J88" s="16"/>
      <c r="K88" s="53"/>
      <c r="L88" s="16"/>
      <c r="M88" s="53"/>
      <c r="N88" s="16"/>
      <c r="O88" s="53"/>
      <c r="P88" s="16"/>
      <c r="Q88" s="53"/>
      <c r="R88" s="16"/>
      <c r="S88" s="53"/>
      <c r="T88" s="16"/>
      <c r="U88" s="53"/>
      <c r="V88" s="16"/>
      <c r="W88" s="53"/>
      <c r="X88" s="16"/>
      <c r="Y88" s="53"/>
      <c r="Z88" s="16"/>
      <c r="AA88" s="53"/>
      <c r="AB88" s="16"/>
      <c r="AC88" s="53"/>
      <c r="AD88" s="16"/>
    </row>
    <row r="89" spans="1:30" x14ac:dyDescent="0.25">
      <c r="A89" s="16">
        <v>86</v>
      </c>
      <c r="B89" s="16"/>
      <c r="C89" s="16"/>
      <c r="D89" s="16"/>
      <c r="E89" s="16"/>
      <c r="F89" s="53"/>
      <c r="G89" s="53"/>
      <c r="H89" s="16" t="str">
        <f t="shared" si="1"/>
        <v xml:space="preserve"> -    </v>
      </c>
      <c r="I89" s="53"/>
      <c r="J89" s="16"/>
      <c r="K89" s="53"/>
      <c r="L89" s="16"/>
      <c r="M89" s="53"/>
      <c r="N89" s="16"/>
      <c r="O89" s="53"/>
      <c r="P89" s="16"/>
      <c r="Q89" s="53"/>
      <c r="R89" s="16"/>
      <c r="S89" s="53"/>
      <c r="T89" s="16"/>
      <c r="U89" s="53"/>
      <c r="V89" s="16"/>
      <c r="W89" s="53"/>
      <c r="X89" s="16"/>
      <c r="Y89" s="53"/>
      <c r="Z89" s="16"/>
      <c r="AA89" s="53"/>
      <c r="AB89" s="16"/>
      <c r="AC89" s="53"/>
      <c r="AD89" s="16"/>
    </row>
    <row r="90" spans="1:30" x14ac:dyDescent="0.25">
      <c r="A90" s="16">
        <v>87</v>
      </c>
      <c r="B90" s="16"/>
      <c r="C90" s="16"/>
      <c r="D90" s="16"/>
      <c r="E90" s="16"/>
      <c r="F90" s="53"/>
      <c r="G90" s="53"/>
      <c r="H90" s="16" t="str">
        <f t="shared" si="1"/>
        <v xml:space="preserve"> -    </v>
      </c>
      <c r="I90" s="53"/>
      <c r="J90" s="16"/>
      <c r="K90" s="53"/>
      <c r="L90" s="16"/>
      <c r="M90" s="53"/>
      <c r="N90" s="16"/>
      <c r="O90" s="53"/>
      <c r="P90" s="16"/>
      <c r="Q90" s="53"/>
      <c r="R90" s="16"/>
      <c r="S90" s="53"/>
      <c r="T90" s="16"/>
      <c r="U90" s="53"/>
      <c r="V90" s="16"/>
      <c r="W90" s="53"/>
      <c r="X90" s="16"/>
      <c r="Y90" s="53"/>
      <c r="Z90" s="16"/>
      <c r="AA90" s="53"/>
      <c r="AB90" s="16"/>
      <c r="AC90" s="53"/>
      <c r="AD90" s="16"/>
    </row>
    <row r="91" spans="1:30" x14ac:dyDescent="0.25">
      <c r="A91" s="16">
        <v>88</v>
      </c>
      <c r="B91" s="16"/>
      <c r="C91" s="16"/>
      <c r="D91" s="16"/>
      <c r="E91" s="16"/>
      <c r="F91" s="53"/>
      <c r="G91" s="53"/>
      <c r="H91" s="16" t="str">
        <f t="shared" si="1"/>
        <v xml:space="preserve"> -    </v>
      </c>
      <c r="I91" s="53"/>
      <c r="J91" s="16"/>
      <c r="K91" s="53"/>
      <c r="L91" s="16"/>
      <c r="M91" s="53"/>
      <c r="N91" s="16"/>
      <c r="O91" s="53"/>
      <c r="P91" s="16"/>
      <c r="Q91" s="53"/>
      <c r="R91" s="16"/>
      <c r="S91" s="53"/>
      <c r="T91" s="16"/>
      <c r="U91" s="53"/>
      <c r="V91" s="16"/>
      <c r="W91" s="53"/>
      <c r="X91" s="16"/>
      <c r="Y91" s="53"/>
      <c r="Z91" s="16"/>
      <c r="AA91" s="53"/>
      <c r="AB91" s="16"/>
      <c r="AC91" s="53"/>
      <c r="AD91" s="16"/>
    </row>
    <row r="92" spans="1:30" x14ac:dyDescent="0.25">
      <c r="A92" s="16">
        <v>89</v>
      </c>
      <c r="B92" s="16"/>
      <c r="C92" s="16"/>
      <c r="D92" s="16"/>
      <c r="E92" s="16"/>
      <c r="F92" s="53"/>
      <c r="G92" s="53"/>
      <c r="H92" s="16" t="str">
        <f t="shared" si="1"/>
        <v xml:space="preserve"> -    </v>
      </c>
      <c r="I92" s="53"/>
      <c r="J92" s="16"/>
      <c r="K92" s="53"/>
      <c r="L92" s="16"/>
      <c r="M92" s="53"/>
      <c r="N92" s="16"/>
      <c r="O92" s="53"/>
      <c r="P92" s="16"/>
      <c r="Q92" s="53"/>
      <c r="R92" s="16"/>
      <c r="S92" s="53"/>
      <c r="T92" s="16"/>
      <c r="U92" s="53"/>
      <c r="V92" s="16"/>
      <c r="W92" s="53"/>
      <c r="X92" s="16"/>
      <c r="Y92" s="53"/>
      <c r="Z92" s="16"/>
      <c r="AA92" s="53"/>
      <c r="AB92" s="16"/>
      <c r="AC92" s="53"/>
      <c r="AD92" s="16"/>
    </row>
    <row r="93" spans="1:30" x14ac:dyDescent="0.25">
      <c r="A93" s="16">
        <v>90</v>
      </c>
      <c r="B93" s="16"/>
      <c r="C93" s="16"/>
      <c r="D93" s="16"/>
      <c r="E93" s="16"/>
      <c r="F93" s="53"/>
      <c r="G93" s="53"/>
      <c r="H93" s="16" t="str">
        <f t="shared" si="1"/>
        <v xml:space="preserve"> -    </v>
      </c>
      <c r="I93" s="53"/>
      <c r="J93" s="16"/>
      <c r="K93" s="53"/>
      <c r="L93" s="16"/>
      <c r="M93" s="53"/>
      <c r="N93" s="16"/>
      <c r="O93" s="53"/>
      <c r="P93" s="16"/>
      <c r="Q93" s="53"/>
      <c r="R93" s="16"/>
      <c r="S93" s="53"/>
      <c r="T93" s="16"/>
      <c r="U93" s="53"/>
      <c r="V93" s="16"/>
      <c r="W93" s="53"/>
      <c r="X93" s="16"/>
      <c r="Y93" s="53"/>
      <c r="Z93" s="16"/>
      <c r="AA93" s="53"/>
      <c r="AB93" s="16"/>
      <c r="AC93" s="53"/>
      <c r="AD93" s="16"/>
    </row>
    <row r="94" spans="1:30" x14ac:dyDescent="0.25">
      <c r="A94" s="16">
        <v>91</v>
      </c>
      <c r="B94" s="16"/>
      <c r="C94" s="16"/>
      <c r="D94" s="16"/>
      <c r="E94" s="16"/>
      <c r="F94" s="53"/>
      <c r="G94" s="53"/>
      <c r="H94" s="16" t="str">
        <f t="shared" si="1"/>
        <v xml:space="preserve"> -    </v>
      </c>
      <c r="I94" s="53"/>
      <c r="J94" s="16"/>
      <c r="K94" s="53"/>
      <c r="L94" s="16"/>
      <c r="M94" s="53"/>
      <c r="N94" s="16"/>
      <c r="O94" s="53"/>
      <c r="P94" s="16"/>
      <c r="Q94" s="53"/>
      <c r="R94" s="16"/>
      <c r="S94" s="53"/>
      <c r="T94" s="16"/>
      <c r="U94" s="53"/>
      <c r="V94" s="16"/>
      <c r="W94" s="53"/>
      <c r="X94" s="16"/>
      <c r="Y94" s="53"/>
      <c r="Z94" s="16"/>
      <c r="AA94" s="53"/>
      <c r="AB94" s="16"/>
      <c r="AC94" s="53"/>
      <c r="AD94" s="16"/>
    </row>
    <row r="95" spans="1:30" x14ac:dyDescent="0.25">
      <c r="A95" s="16">
        <v>92</v>
      </c>
      <c r="B95" s="16"/>
      <c r="C95" s="16"/>
      <c r="D95" s="16"/>
      <c r="E95" s="16"/>
      <c r="F95" s="53"/>
      <c r="G95" s="53"/>
      <c r="H95" s="16" t="str">
        <f t="shared" si="1"/>
        <v xml:space="preserve"> -    </v>
      </c>
      <c r="I95" s="53"/>
      <c r="J95" s="16"/>
      <c r="K95" s="53"/>
      <c r="L95" s="16"/>
      <c r="M95" s="53"/>
      <c r="N95" s="16"/>
      <c r="O95" s="53"/>
      <c r="P95" s="16"/>
      <c r="Q95" s="53"/>
      <c r="R95" s="16"/>
      <c r="S95" s="53"/>
      <c r="T95" s="16"/>
      <c r="U95" s="53"/>
      <c r="V95" s="16"/>
      <c r="W95" s="53"/>
      <c r="X95" s="16"/>
      <c r="Y95" s="53"/>
      <c r="Z95" s="16"/>
      <c r="AA95" s="53"/>
      <c r="AB95" s="16"/>
      <c r="AC95" s="53"/>
      <c r="AD95" s="16"/>
    </row>
    <row r="96" spans="1:30" x14ac:dyDescent="0.25">
      <c r="A96" s="16">
        <v>93</v>
      </c>
      <c r="B96" s="16"/>
      <c r="C96" s="16"/>
      <c r="D96" s="16"/>
      <c r="E96" s="16"/>
      <c r="F96" s="53"/>
      <c r="G96" s="53"/>
      <c r="H96" s="16" t="str">
        <f t="shared" si="1"/>
        <v xml:space="preserve"> -    </v>
      </c>
      <c r="I96" s="53"/>
      <c r="J96" s="16"/>
      <c r="K96" s="53"/>
      <c r="L96" s="16"/>
      <c r="M96" s="53"/>
      <c r="N96" s="16"/>
      <c r="O96" s="53"/>
      <c r="P96" s="16"/>
      <c r="Q96" s="53"/>
      <c r="R96" s="16"/>
      <c r="S96" s="53"/>
      <c r="T96" s="16"/>
      <c r="U96" s="53"/>
      <c r="V96" s="16"/>
      <c r="W96" s="53"/>
      <c r="X96" s="16"/>
      <c r="Y96" s="53"/>
      <c r="Z96" s="16"/>
      <c r="AA96" s="53"/>
      <c r="AB96" s="16"/>
      <c r="AC96" s="53"/>
      <c r="AD96" s="16"/>
    </row>
    <row r="97" spans="1:30" x14ac:dyDescent="0.25">
      <c r="A97" s="16">
        <v>94</v>
      </c>
      <c r="B97" s="16"/>
      <c r="C97" s="16"/>
      <c r="D97" s="16"/>
      <c r="E97" s="16"/>
      <c r="F97" s="53"/>
      <c r="G97" s="53"/>
      <c r="H97" s="16" t="str">
        <f t="shared" si="1"/>
        <v xml:space="preserve"> -    </v>
      </c>
      <c r="I97" s="53"/>
      <c r="J97" s="16"/>
      <c r="K97" s="53"/>
      <c r="L97" s="16"/>
      <c r="M97" s="53"/>
      <c r="N97" s="16"/>
      <c r="O97" s="53"/>
      <c r="P97" s="16"/>
      <c r="Q97" s="53"/>
      <c r="R97" s="16"/>
      <c r="S97" s="53"/>
      <c r="T97" s="16"/>
      <c r="U97" s="53"/>
      <c r="V97" s="16"/>
      <c r="W97" s="53"/>
      <c r="X97" s="16"/>
      <c r="Y97" s="53"/>
      <c r="Z97" s="16"/>
      <c r="AA97" s="53"/>
      <c r="AB97" s="16"/>
      <c r="AC97" s="53"/>
      <c r="AD97" s="16"/>
    </row>
    <row r="98" spans="1:30" x14ac:dyDescent="0.25">
      <c r="A98" s="16">
        <v>95</v>
      </c>
      <c r="B98" s="16"/>
      <c r="C98" s="16"/>
      <c r="D98" s="16"/>
      <c r="E98" s="16"/>
      <c r="F98" s="53"/>
      <c r="G98" s="53"/>
      <c r="H98" s="16" t="str">
        <f t="shared" si="1"/>
        <v xml:space="preserve"> -    </v>
      </c>
      <c r="I98" s="53"/>
      <c r="J98" s="16"/>
      <c r="K98" s="53"/>
      <c r="L98" s="16"/>
      <c r="M98" s="53"/>
      <c r="N98" s="16"/>
      <c r="O98" s="53"/>
      <c r="P98" s="16"/>
      <c r="Q98" s="53"/>
      <c r="R98" s="16"/>
      <c r="S98" s="53"/>
      <c r="T98" s="16"/>
      <c r="U98" s="53"/>
      <c r="V98" s="16"/>
      <c r="W98" s="53"/>
      <c r="X98" s="16"/>
      <c r="Y98" s="53"/>
      <c r="Z98" s="16"/>
      <c r="AA98" s="53"/>
      <c r="AB98" s="16"/>
      <c r="AC98" s="53"/>
      <c r="AD98" s="16"/>
    </row>
    <row r="99" spans="1:30" x14ac:dyDescent="0.25">
      <c r="A99" s="16">
        <v>96</v>
      </c>
      <c r="B99" s="16"/>
      <c r="C99" s="16"/>
      <c r="D99" s="16"/>
      <c r="E99" s="16"/>
      <c r="F99" s="53"/>
      <c r="G99" s="53"/>
      <c r="H99" s="16" t="str">
        <f t="shared" si="1"/>
        <v xml:space="preserve"> -    </v>
      </c>
      <c r="I99" s="53"/>
      <c r="J99" s="16"/>
      <c r="K99" s="53"/>
      <c r="L99" s="16"/>
      <c r="M99" s="53"/>
      <c r="N99" s="16"/>
      <c r="O99" s="53"/>
      <c r="P99" s="16"/>
      <c r="Q99" s="53"/>
      <c r="R99" s="16"/>
      <c r="S99" s="53"/>
      <c r="T99" s="16"/>
      <c r="U99" s="53"/>
      <c r="V99" s="16"/>
      <c r="W99" s="53"/>
      <c r="X99" s="16"/>
      <c r="Y99" s="53"/>
      <c r="Z99" s="16"/>
      <c r="AA99" s="53"/>
      <c r="AB99" s="16"/>
      <c r="AC99" s="53"/>
      <c r="AD99" s="16"/>
    </row>
    <row r="100" spans="1:30" x14ac:dyDescent="0.25">
      <c r="A100" s="16">
        <v>97</v>
      </c>
      <c r="B100" s="16"/>
      <c r="C100" s="16"/>
      <c r="D100" s="16"/>
      <c r="E100" s="16"/>
      <c r="F100" s="53"/>
      <c r="G100" s="53"/>
      <c r="H100" s="16" t="str">
        <f t="shared" si="1"/>
        <v xml:space="preserve"> -    </v>
      </c>
      <c r="I100" s="53"/>
      <c r="J100" s="16"/>
      <c r="K100" s="53"/>
      <c r="L100" s="16"/>
      <c r="M100" s="53"/>
      <c r="N100" s="16"/>
      <c r="O100" s="53"/>
      <c r="P100" s="16"/>
      <c r="Q100" s="53"/>
      <c r="R100" s="16"/>
      <c r="S100" s="53"/>
      <c r="T100" s="16"/>
      <c r="U100" s="53"/>
      <c r="V100" s="16"/>
      <c r="W100" s="53"/>
      <c r="X100" s="16"/>
      <c r="Y100" s="53"/>
      <c r="Z100" s="16"/>
      <c r="AA100" s="53"/>
      <c r="AB100" s="16"/>
      <c r="AC100" s="53"/>
      <c r="AD100" s="16"/>
    </row>
    <row r="101" spans="1:30" x14ac:dyDescent="0.25">
      <c r="A101" s="16">
        <v>98</v>
      </c>
      <c r="B101" s="16"/>
      <c r="C101" s="16"/>
      <c r="D101" s="16"/>
      <c r="E101" s="16"/>
      <c r="F101" s="53"/>
      <c r="G101" s="53"/>
      <c r="H101" s="16" t="str">
        <f t="shared" si="1"/>
        <v xml:space="preserve"> -    </v>
      </c>
      <c r="I101" s="53"/>
      <c r="J101" s="16"/>
      <c r="K101" s="53"/>
      <c r="L101" s="16"/>
      <c r="M101" s="53"/>
      <c r="N101" s="16"/>
      <c r="O101" s="53"/>
      <c r="P101" s="16"/>
      <c r="Q101" s="53"/>
      <c r="R101" s="16"/>
      <c r="S101" s="53"/>
      <c r="T101" s="16"/>
      <c r="U101" s="53"/>
      <c r="V101" s="16"/>
      <c r="W101" s="53"/>
      <c r="X101" s="16"/>
      <c r="Y101" s="53"/>
      <c r="Z101" s="16"/>
      <c r="AA101" s="53"/>
      <c r="AB101" s="16"/>
      <c r="AC101" s="53"/>
      <c r="AD101" s="16"/>
    </row>
    <row r="102" spans="1:30" x14ac:dyDescent="0.25">
      <c r="A102" s="16">
        <v>99</v>
      </c>
      <c r="B102" s="16"/>
      <c r="C102" s="16"/>
      <c r="D102" s="16"/>
      <c r="E102" s="16"/>
      <c r="F102" s="53"/>
      <c r="G102" s="53"/>
      <c r="H102" s="16" t="str">
        <f t="shared" si="1"/>
        <v xml:space="preserve"> -    </v>
      </c>
      <c r="I102" s="53"/>
      <c r="J102" s="16"/>
      <c r="K102" s="53"/>
      <c r="L102" s="16"/>
      <c r="M102" s="53"/>
      <c r="N102" s="16"/>
      <c r="O102" s="53"/>
      <c r="P102" s="16"/>
      <c r="Q102" s="53"/>
      <c r="R102" s="16"/>
      <c r="S102" s="53"/>
      <c r="T102" s="16"/>
      <c r="U102" s="53"/>
      <c r="V102" s="16"/>
      <c r="W102" s="53"/>
      <c r="X102" s="16"/>
      <c r="Y102" s="53"/>
      <c r="Z102" s="16"/>
      <c r="AA102" s="53"/>
      <c r="AB102" s="16"/>
      <c r="AC102" s="53"/>
      <c r="AD102" s="16"/>
    </row>
    <row r="103" spans="1:30" x14ac:dyDescent="0.25">
      <c r="A103" s="16">
        <v>100</v>
      </c>
      <c r="B103" s="16"/>
      <c r="C103" s="16"/>
      <c r="D103" s="16"/>
      <c r="E103" s="16"/>
      <c r="F103" s="53"/>
      <c r="G103" s="53"/>
      <c r="H103" s="16" t="str">
        <f t="shared" si="1"/>
        <v xml:space="preserve"> -    </v>
      </c>
      <c r="I103" s="53"/>
      <c r="J103" s="16"/>
      <c r="K103" s="53"/>
      <c r="L103" s="16"/>
      <c r="M103" s="53"/>
      <c r="N103" s="16"/>
      <c r="O103" s="53"/>
      <c r="P103" s="16"/>
      <c r="Q103" s="53"/>
      <c r="R103" s="16"/>
      <c r="S103" s="53"/>
      <c r="T103" s="16"/>
      <c r="U103" s="53"/>
      <c r="V103" s="16"/>
      <c r="W103" s="53"/>
      <c r="X103" s="16"/>
      <c r="Y103" s="53"/>
      <c r="Z103" s="16"/>
      <c r="AA103" s="53"/>
      <c r="AB103" s="16"/>
      <c r="AC103" s="53"/>
      <c r="AD103" s="16"/>
    </row>
    <row r="104" spans="1:30" x14ac:dyDescent="0.25">
      <c r="A104" s="16"/>
      <c r="B104" s="16"/>
      <c r="C104" s="16"/>
      <c r="D104" s="16"/>
      <c r="E104" s="16"/>
      <c r="F104" s="53"/>
      <c r="G104" s="53"/>
      <c r="H104" s="16" t="str">
        <f t="shared" si="1"/>
        <v xml:space="preserve"> -    </v>
      </c>
      <c r="I104" s="53"/>
      <c r="J104" s="16"/>
      <c r="K104" s="53"/>
      <c r="L104" s="16"/>
      <c r="M104" s="53"/>
      <c r="N104" s="16"/>
      <c r="O104" s="53"/>
      <c r="P104" s="16"/>
      <c r="Q104" s="53"/>
      <c r="R104" s="16"/>
      <c r="S104" s="53"/>
      <c r="T104" s="16"/>
      <c r="U104" s="53"/>
      <c r="V104" s="16"/>
      <c r="W104" s="53"/>
      <c r="X104" s="16"/>
      <c r="Y104" s="53"/>
      <c r="Z104" s="16"/>
      <c r="AA104" s="53"/>
      <c r="AB104" s="16"/>
      <c r="AC104" s="53"/>
      <c r="AD104" s="16"/>
    </row>
  </sheetData>
  <mergeCells count="1">
    <mergeCell ref="G2:AD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8" sqref="E8:F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IURAN TANAH</vt:lpstr>
      <vt:lpstr>IURAN BULANAN</vt:lpstr>
      <vt:lpstr>SALDO IURAN TANAH</vt:lpstr>
      <vt:lpstr>SALDO IURAN 2025</vt:lpstr>
      <vt:lpstr>KARTU IURANTANAH</vt:lpstr>
      <vt:lpstr>IURAN BULANAN(2024)</vt:lpstr>
      <vt:lpstr>IuranPangkal</vt:lpstr>
      <vt:lpstr>Sheet1</vt:lpstr>
      <vt:lpstr>'IURAN BULANAN(2024)'!Print_Area</vt:lpstr>
      <vt:lpstr>'IURAN TANAH'!Print_Area</vt:lpstr>
      <vt:lpstr>IuranPangkal!Print_Area</vt:lpstr>
      <vt:lpstr>'SALDO IURAN 2025'!Print_Area</vt:lpstr>
      <vt:lpstr>'SALDO IURAN TANAH'!Print_Area</vt:lpstr>
      <vt:lpstr>'IURAN BULANAN'!Print_Titles</vt:lpstr>
      <vt:lpstr>'IURAN TANAH'!Print_Titles</vt:lpstr>
      <vt:lpstr>'KARTU IURANTANAH'!Print_Titles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2025-05-01T10:00:33Z</cp:lastPrinted>
  <dcterms:created xsi:type="dcterms:W3CDTF">2023-11-18T07:50:23Z</dcterms:created>
  <dcterms:modified xsi:type="dcterms:W3CDTF">2025-11-26T14:56:38Z</dcterms:modified>
</cp:coreProperties>
</file>